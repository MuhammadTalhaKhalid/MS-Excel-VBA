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SCS UOL\"/>
    </mc:Choice>
  </mc:AlternateContent>
  <bookViews>
    <workbookView xWindow="720" yWindow="330" windowWidth="22755" windowHeight="9750" tabRatio="672"/>
  </bookViews>
  <sheets>
    <sheet name="Sheet2" sheetId="2" r:id="rId1"/>
    <sheet name="Sheet3" sheetId="3" r:id="rId2"/>
  </sheets>
  <calcPr calcId="152511"/>
</workbook>
</file>

<file path=xl/calcChain.xml><?xml version="1.0" encoding="utf-8"?>
<calcChain xmlns="http://schemas.openxmlformats.org/spreadsheetml/2006/main">
  <c r="Z129" i="2" l="1"/>
  <c r="X129" i="2" s="1"/>
  <c r="E26" i="2" l="1"/>
  <c r="E27" i="2"/>
  <c r="E126" i="2"/>
  <c r="E125" i="2"/>
  <c r="E124" i="2"/>
  <c r="E123" i="2"/>
  <c r="E122" i="2"/>
  <c r="E121" i="2"/>
  <c r="E117" i="2"/>
  <c r="E116" i="2"/>
  <c r="E115" i="2"/>
  <c r="E114" i="2"/>
  <c r="E113" i="2"/>
  <c r="E112" i="2"/>
  <c r="H19" i="3" s="1"/>
  <c r="E108" i="2"/>
  <c r="E107" i="2"/>
  <c r="E106" i="2"/>
  <c r="E105" i="2"/>
  <c r="E104" i="2"/>
  <c r="E103" i="2"/>
  <c r="E99" i="2"/>
  <c r="E98" i="2"/>
  <c r="E90" i="2"/>
  <c r="E89" i="2"/>
  <c r="E88" i="2"/>
  <c r="E87" i="2"/>
  <c r="E9" i="2"/>
  <c r="E8" i="2"/>
  <c r="E45" i="2"/>
  <c r="E54" i="2"/>
  <c r="E53" i="2"/>
  <c r="E52" i="2"/>
  <c r="E51" i="2"/>
  <c r="E72" i="2"/>
  <c r="E71" i="2"/>
  <c r="E70" i="2"/>
  <c r="E79" i="2"/>
  <c r="E81" i="2"/>
  <c r="E80" i="2"/>
  <c r="E78" i="2"/>
  <c r="H20" i="3" l="1"/>
  <c r="H17" i="3"/>
  <c r="E15" i="2"/>
  <c r="F128" i="2"/>
  <c r="B128" i="2" s="1"/>
  <c r="F119" i="2"/>
  <c r="B119" i="2" s="1"/>
  <c r="F110" i="2"/>
  <c r="F101" i="2"/>
  <c r="E97" i="2"/>
  <c r="E96" i="2"/>
  <c r="E95" i="2"/>
  <c r="E94" i="2"/>
  <c r="F92" i="2"/>
  <c r="E86" i="2"/>
  <c r="E85" i="2"/>
  <c r="H15" i="3" s="1"/>
  <c r="F83" i="2"/>
  <c r="E77" i="2"/>
  <c r="E76" i="2"/>
  <c r="H14" i="3" s="1"/>
  <c r="E18" i="2"/>
  <c r="E13" i="2"/>
  <c r="E14" i="2"/>
  <c r="E16" i="2"/>
  <c r="E17" i="2"/>
  <c r="F20" i="2"/>
  <c r="E22" i="2"/>
  <c r="E23" i="2"/>
  <c r="E24" i="2"/>
  <c r="E25" i="2"/>
  <c r="F29" i="2"/>
  <c r="E31" i="2"/>
  <c r="E32" i="2"/>
  <c r="E33" i="2"/>
  <c r="E34" i="2"/>
  <c r="E35" i="2"/>
  <c r="E36" i="2"/>
  <c r="F38" i="2"/>
  <c r="E40" i="2"/>
  <c r="E41" i="2"/>
  <c r="E42" i="2"/>
  <c r="E43" i="2"/>
  <c r="E44" i="2"/>
  <c r="F47" i="2"/>
  <c r="E49" i="2"/>
  <c r="H11" i="3" s="1"/>
  <c r="E50" i="2"/>
  <c r="F56" i="2"/>
  <c r="E58" i="2"/>
  <c r="E59" i="2"/>
  <c r="E60" i="2"/>
  <c r="E61" i="2"/>
  <c r="E62" i="2"/>
  <c r="E63" i="2"/>
  <c r="F65" i="2"/>
  <c r="E67" i="2"/>
  <c r="E68" i="2"/>
  <c r="E69" i="2"/>
  <c r="F74" i="2"/>
  <c r="H13" i="3" l="1"/>
  <c r="H8" i="3"/>
  <c r="H16" i="3"/>
  <c r="H12" i="3"/>
  <c r="H10" i="3"/>
  <c r="H9" i="3"/>
  <c r="H7" i="3"/>
  <c r="B92" i="2"/>
  <c r="B83" i="2"/>
  <c r="B20" i="2"/>
  <c r="B101" i="2"/>
  <c r="B56" i="2"/>
  <c r="B65" i="2"/>
  <c r="B38" i="2"/>
  <c r="B74" i="2"/>
  <c r="B47" i="2"/>
  <c r="B29" i="2"/>
  <c r="B110" i="2"/>
  <c r="E7" i="2"/>
  <c r="E6" i="2"/>
  <c r="E5" i="2"/>
  <c r="E4" i="2"/>
  <c r="H6" i="3" s="1"/>
  <c r="F11" i="2" l="1"/>
  <c r="D92" i="2" s="1"/>
  <c r="D119" i="2" l="1"/>
  <c r="D38" i="2"/>
  <c r="B132" i="2"/>
  <c r="B134" i="2" s="1"/>
  <c r="D74" i="2"/>
  <c r="D20" i="2"/>
  <c r="D110" i="2"/>
  <c r="D83" i="2"/>
  <c r="D101" i="2"/>
  <c r="D47" i="2"/>
  <c r="D128" i="2"/>
  <c r="D56" i="2"/>
  <c r="D11" i="2"/>
  <c r="D29" i="2"/>
  <c r="D65" i="2"/>
  <c r="B11" i="2"/>
</calcChain>
</file>

<file path=xl/sharedStrings.xml><?xml version="1.0" encoding="utf-8"?>
<sst xmlns="http://schemas.openxmlformats.org/spreadsheetml/2006/main" count="111" uniqueCount="56">
  <si>
    <t>Course code</t>
  </si>
  <si>
    <t>Course title</t>
  </si>
  <si>
    <t>Grades</t>
  </si>
  <si>
    <t>F</t>
  </si>
  <si>
    <t>B</t>
  </si>
  <si>
    <t>C</t>
  </si>
  <si>
    <t>D</t>
  </si>
  <si>
    <t>C+</t>
  </si>
  <si>
    <t>B+</t>
  </si>
  <si>
    <t>A</t>
  </si>
  <si>
    <t>Credit hou</t>
  </si>
  <si>
    <t>A-</t>
  </si>
  <si>
    <t>SGPA</t>
  </si>
  <si>
    <t>CGPA</t>
  </si>
  <si>
    <t>Total credit hour</t>
  </si>
  <si>
    <t>D+</t>
  </si>
  <si>
    <t>GPA</t>
  </si>
  <si>
    <t>Fail subjects</t>
  </si>
  <si>
    <t>Semester  1</t>
  </si>
  <si>
    <t xml:space="preserve">Summer Semester  </t>
  </si>
  <si>
    <t>Semester  2</t>
  </si>
  <si>
    <t>Semester  3</t>
  </si>
  <si>
    <t>Semester  4</t>
  </si>
  <si>
    <t>Semester  5</t>
  </si>
  <si>
    <t>Semester  6</t>
  </si>
  <si>
    <t>Semester  7</t>
  </si>
  <si>
    <t>Semester  8</t>
  </si>
  <si>
    <t>Semester  9</t>
  </si>
  <si>
    <t>Semester  10</t>
  </si>
  <si>
    <t>Semester  11</t>
  </si>
  <si>
    <t>Semester  12</t>
  </si>
  <si>
    <t>Spring Semester 2016</t>
  </si>
  <si>
    <t>Fall Semester 2016</t>
  </si>
  <si>
    <t>Spring Semester 2017</t>
  </si>
  <si>
    <t>Fall Semester 2017</t>
  </si>
  <si>
    <t>Spring Semester 2018</t>
  </si>
  <si>
    <t>Spring Semester 2019</t>
  </si>
  <si>
    <t>Summer Semester 2018</t>
  </si>
  <si>
    <t>Fall  Semester 2018</t>
  </si>
  <si>
    <t>Summer  Semester 2019</t>
  </si>
  <si>
    <t>Fall  Semester 2019</t>
  </si>
  <si>
    <t>Theory of Automata</t>
  </si>
  <si>
    <t>Linear Algebra</t>
  </si>
  <si>
    <t>Fall  Semester 2020</t>
  </si>
  <si>
    <t>Summe  Semester 2020</t>
  </si>
  <si>
    <t>Spring  Semester 2020</t>
  </si>
  <si>
    <t>Spring  Semester 2021</t>
  </si>
  <si>
    <t>Compiler Construction</t>
  </si>
  <si>
    <t>Operating Systems</t>
  </si>
  <si>
    <t>Numerical Computing</t>
  </si>
  <si>
    <t>Software Engineering</t>
  </si>
  <si>
    <t>Semester  13</t>
  </si>
  <si>
    <t>Semester  14</t>
  </si>
  <si>
    <t>Total Credit Hours</t>
  </si>
  <si>
    <t>Average CGPA</t>
  </si>
  <si>
    <t>Sumof gpa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</si>
</sst>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rgb="FFFF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0" xfId="0" applyNumberForma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2" borderId="8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 vertical="center"/>
    </xf>
    <xf numFmtId="0" fontId="6" fillId="0" borderId="0" xfId="0" applyFont="1" applyBorder="1"/>
    <xf numFmtId="0" fontId="0" fillId="0" borderId="13" xfId="0" applyBorder="1"/>
    <xf numFmtId="0" fontId="3" fillId="0" borderId="0" xfId="0" applyFont="1" applyBorder="1" applyAlignment="1">
      <alignment horizontal="center"/>
    </xf>
    <xf numFmtId="0" fontId="0" fillId="0" borderId="0" xfId="0" applyBorder="1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0" fontId="1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/>
    <xf numFmtId="1" fontId="0" fillId="0" borderId="0" xfId="0" applyNumberFormat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15" xfId="0" applyFont="1" applyBorder="1" applyAlignment="1">
      <alignment horizontal="center"/>
    </xf>
    <xf numFmtId="1" fontId="1" fillId="0" borderId="16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2" fontId="0" fillId="0" borderId="14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left" vertical="center"/>
    </xf>
    <xf numFmtId="2" fontId="0" fillId="0" borderId="4" xfId="0" applyNumberFormat="1" applyBorder="1" applyAlignment="1">
      <alignment horizontal="center"/>
    </xf>
    <xf numFmtId="1" fontId="0" fillId="0" borderId="0" xfId="0" applyNumberFormat="1" applyAlignment="1">
      <alignment horizontal="left" indent="2"/>
    </xf>
  </cellXfs>
  <cellStyles count="1">
    <cellStyle name="Normal" xfId="0" builtinId="0"/>
  </cellStyles>
  <dxfs count="5"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133</xdr:row>
          <xdr:rowOff>171450</xdr:rowOff>
        </xdr:from>
        <xdr:to>
          <xdr:col>3</xdr:col>
          <xdr:colOff>19050</xdr:colOff>
          <xdr:row>135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133</xdr:row>
          <xdr:rowOff>171450</xdr:rowOff>
        </xdr:from>
        <xdr:to>
          <xdr:col>3</xdr:col>
          <xdr:colOff>19050</xdr:colOff>
          <xdr:row>135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133</xdr:row>
          <xdr:rowOff>171450</xdr:rowOff>
        </xdr:from>
        <xdr:to>
          <xdr:col>4</xdr:col>
          <xdr:colOff>1133475</xdr:colOff>
          <xdr:row>135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34"/>
  <sheetViews>
    <sheetView tabSelected="1" topLeftCell="A114" zoomScale="85" zoomScaleNormal="85" workbookViewId="0">
      <selection activeCell="D9" activeCellId="14" sqref="D88 D86:D90 D85 D85 D103:D108 D94:D99 D76:D79 D67:D71 D58:D63 D49:D55 D40:D45 D31:D37 D22:D27 D13:D19 D4:D9"/>
    </sheetView>
  </sheetViews>
  <sheetFormatPr defaultRowHeight="15" x14ac:dyDescent="0.25"/>
  <cols>
    <col min="1" max="1" width="23.5703125" customWidth="1"/>
    <col min="2" max="2" width="31" customWidth="1"/>
    <col min="3" max="4" width="15.5703125" customWidth="1"/>
    <col min="5" max="5" width="17.140625" customWidth="1"/>
    <col min="8" max="9" width="9.140625" customWidth="1"/>
    <col min="10" max="10" width="16.28515625" customWidth="1"/>
    <col min="12" max="12" width="12.7109375" customWidth="1"/>
  </cols>
  <sheetData>
    <row r="1" spans="1:10" ht="15.75" thickBot="1" x14ac:dyDescent="0.3">
      <c r="B1" s="1"/>
    </row>
    <row r="2" spans="1:10" ht="15.75" thickBot="1" x14ac:dyDescent="0.3">
      <c r="A2" s="7" t="s">
        <v>0</v>
      </c>
      <c r="B2" s="8" t="s">
        <v>1</v>
      </c>
      <c r="C2" s="8" t="s">
        <v>10</v>
      </c>
      <c r="D2" s="8" t="s">
        <v>2</v>
      </c>
      <c r="E2" s="16" t="s">
        <v>16</v>
      </c>
      <c r="F2" s="10"/>
      <c r="J2" s="11"/>
    </row>
    <row r="3" spans="1:10" x14ac:dyDescent="0.25">
      <c r="A3" s="6" t="s">
        <v>18</v>
      </c>
      <c r="B3" s="15" t="s">
        <v>31</v>
      </c>
      <c r="D3" s="3"/>
      <c r="E3" s="17"/>
      <c r="F3" s="18"/>
      <c r="I3" s="12"/>
      <c r="J3" s="13" t="s">
        <v>17</v>
      </c>
    </row>
    <row r="4" spans="1:10" x14ac:dyDescent="0.25">
      <c r="A4" s="4"/>
      <c r="B4" s="14"/>
      <c r="C4" s="35"/>
      <c r="D4" s="3"/>
      <c r="E4" s="17">
        <f>IF(D4=Sheet3!$A$6,Sheet3!$F$6,IF(D4=Sheet3!$A$7,Sheet3!$F$7,IF(D4=Sheet3!$A$8,Sheet3!$F$8,IF(D4=Sheet3!$A$9,Sheet3!$F$9,IF(D4=Sheet3!$A$10,Sheet3!$F$10,IF(D4=Sheet3!$A$11,Sheet3!$F$11,IF(D4=Sheet3!$A$12,Sheet3!$F$12,IF(D4=Sheet3!$A$13,Sheet3!$F$13,IF(D4=Sheet3!$A$14,Sheet3!$F$14,IF(D4=Sheet3!$A$15,Sheet3!$F$15,IF(D4=Sheet3!$A$16,Sheet3!$F$16,IF(D4=Sheet3!$A$17,I7))))))))))))</f>
        <v>0</v>
      </c>
      <c r="F4" s="18"/>
      <c r="J4" s="25"/>
    </row>
    <row r="5" spans="1:10" x14ac:dyDescent="0.25">
      <c r="A5" s="4"/>
      <c r="B5" s="14"/>
      <c r="C5" s="35"/>
      <c r="D5" s="3"/>
      <c r="E5" s="17">
        <f>IF(D5=Sheet3!$A$6,Sheet3!$F$6,IF(D5=Sheet3!$A$7,Sheet3!$F$7,IF(D5=Sheet3!$A$8,Sheet3!$F$8,IF(D5=Sheet3!$A$9,Sheet3!$F$9,IF(D5=Sheet3!$A$10,Sheet3!$F$10,IF(D5=Sheet3!$A$11,Sheet3!$F$11,IF(D5=Sheet3!$A$12,Sheet3!$F$12,IF(D5=Sheet3!$A$13,Sheet3!$F$13,IF(D5=Sheet3!$A$14,Sheet3!$F$14,IF(D5=Sheet3!$A$15,Sheet3!$F$15,IF(D5=Sheet3!$A$16,Sheet3!$F$16,IF(D5=Sheet3!$A$17,I8))))))))))))</f>
        <v>0</v>
      </c>
      <c r="F5" s="18"/>
      <c r="I5" s="24"/>
      <c r="J5" s="46"/>
    </row>
    <row r="6" spans="1:10" x14ac:dyDescent="0.25">
      <c r="A6" s="4"/>
      <c r="B6" s="14"/>
      <c r="C6" s="35"/>
      <c r="D6" s="3"/>
      <c r="E6" s="17">
        <f>IF(D6=Sheet3!$A$6,Sheet3!$F$6,IF(D6=Sheet3!$A$7,Sheet3!$F$7,IF(D6=Sheet3!$A$8,Sheet3!$F$8,IF(D6=Sheet3!$A$9,Sheet3!$F$9,IF(D6=Sheet3!$A$10,Sheet3!$F$10,IF(D6=Sheet3!$A$11,Sheet3!$F$11,IF(D6=Sheet3!$A$12,Sheet3!$F$12,IF(D6=Sheet3!$A$13,Sheet3!$F$13,IF(D6=Sheet3!$A$14,Sheet3!$F$14,IF(D6=Sheet3!$A$15,Sheet3!$F$15,IF(D6=Sheet3!$A$16,Sheet3!$F$16,IF(D6=Sheet3!$A$17,I9))))))))))))</f>
        <v>0</v>
      </c>
      <c r="F6" s="18"/>
    </row>
    <row r="7" spans="1:10" x14ac:dyDescent="0.25">
      <c r="A7" s="4"/>
      <c r="B7" s="14"/>
      <c r="C7" s="35"/>
      <c r="D7" s="3"/>
      <c r="E7" s="17">
        <f>IF(D7=Sheet3!$A$6,Sheet3!$F$6,IF(D7=Sheet3!$A$7,Sheet3!$F$7,IF(D7=Sheet3!$A$8,Sheet3!$F$8,IF(D7=Sheet3!$A$9,Sheet3!$F$9,IF(D7=Sheet3!$A$10,Sheet3!$F$10,IF(D7=Sheet3!$A$11,Sheet3!$F$11,IF(D7=Sheet3!$A$12,Sheet3!$F$12,IF(D7=Sheet3!$A$13,Sheet3!$F$13,IF(D7=Sheet3!$A$14,Sheet3!$F$14,IF(D7=Sheet3!$A$15,Sheet3!$F$15,IF(D7=Sheet3!$A$16,Sheet3!$F$16,IF(D7=Sheet3!$A$17,I10))))))))))))</f>
        <v>0</v>
      </c>
      <c r="F7" s="18"/>
    </row>
    <row r="8" spans="1:10" x14ac:dyDescent="0.25">
      <c r="A8" s="4"/>
      <c r="B8" s="3"/>
      <c r="C8" s="35"/>
      <c r="D8" s="3"/>
      <c r="E8" s="17">
        <f>IF(D8=Sheet3!$A$6,Sheet3!$F$6,IF(D8=Sheet3!$A$7,Sheet3!$F$7,IF(D8=Sheet3!$A$8,Sheet3!$F$8,IF(D8=Sheet3!$A$9,Sheet3!$F$9,IF(D8=Sheet3!$A$10,Sheet3!$F$10,IF(D8=Sheet3!$A$11,Sheet3!$F$11,IF(D8=Sheet3!$A$12,Sheet3!$F$12,IF(D8=Sheet3!$A$13,Sheet3!$F$13,IF(D8=Sheet3!$A$14,Sheet3!$F$14,IF(D8=Sheet3!$A$15,Sheet3!$F$15,IF(D8=Sheet3!$A$16,Sheet3!$F$16,IF(D8=Sheet3!$A$17,I11))))))))))))</f>
        <v>0</v>
      </c>
      <c r="F8" s="18"/>
    </row>
    <row r="9" spans="1:10" x14ac:dyDescent="0.25">
      <c r="A9" s="4"/>
      <c r="B9" s="3"/>
      <c r="C9" s="35"/>
      <c r="D9" s="3"/>
      <c r="E9" s="17">
        <f>IF(D9=Sheet3!$A$6,Sheet3!$F$6,IF(D9=Sheet3!$A$7,Sheet3!$F$7,IF(D9=Sheet3!$A$8,Sheet3!$F$8,IF(D9=Sheet3!$A$9,Sheet3!$F$9,IF(D9=Sheet3!$A$10,Sheet3!$F$10,IF(D9=Sheet3!$A$11,Sheet3!$F$11,IF(D9=Sheet3!$A$12,Sheet3!$F$12,IF(D9=Sheet3!$A$13,Sheet3!$F$13,IF(D9=Sheet3!$A$14,Sheet3!$F$14,IF(D9=Sheet3!$A$15,Sheet3!$F$15,IF(D9=Sheet3!$A$16,Sheet3!$F$16,IF(D9=Sheet3!$A$17,I12))))))))))))</f>
        <v>0</v>
      </c>
      <c r="F9" s="18"/>
    </row>
    <row r="10" spans="1:10" ht="15.75" thickBot="1" x14ac:dyDescent="0.3">
      <c r="A10" s="10"/>
      <c r="B10" s="10"/>
      <c r="C10" s="36"/>
      <c r="D10" s="9"/>
      <c r="E10" s="17"/>
      <c r="F10" s="18"/>
    </row>
    <row r="11" spans="1:10" ht="15.75" thickBot="1" x14ac:dyDescent="0.3">
      <c r="A11" s="41" t="s">
        <v>12</v>
      </c>
      <c r="B11" s="44" t="e">
        <f>(($C4*$E4)+($C5*$E5)+($C6*$E6)+($C7*$E7)+($C8*$E8)+($C9*$E9))/$F11</f>
        <v>#DIV/0!</v>
      </c>
      <c r="C11" s="42" t="s">
        <v>13</v>
      </c>
      <c r="D11" s="44" t="e">
        <f>Sheet3!H6/Sheet2!F11</f>
        <v>#DIV/0!</v>
      </c>
      <c r="E11" s="38" t="s">
        <v>14</v>
      </c>
      <c r="F11" s="19">
        <f>SUM(C4:C9)</f>
        <v>0</v>
      </c>
    </row>
    <row r="12" spans="1:10" x14ac:dyDescent="0.25">
      <c r="A12" s="6" t="s">
        <v>20</v>
      </c>
      <c r="B12" s="43" t="s">
        <v>32</v>
      </c>
      <c r="C12" s="31"/>
      <c r="D12" s="3"/>
      <c r="E12" s="17"/>
      <c r="F12" s="18"/>
      <c r="G12" s="31"/>
    </row>
    <row r="13" spans="1:10" x14ac:dyDescent="0.25">
      <c r="A13" s="4"/>
      <c r="B13" s="14"/>
      <c r="C13" s="35"/>
      <c r="D13" s="3"/>
      <c r="E13" s="17">
        <f>IF(D13=Sheet3!$A$6,Sheet3!$F$6,IF(D13=Sheet3!$A$7,Sheet3!$F$7,IF(D13=Sheet3!$A$8,Sheet3!$F$8,IF(D13=Sheet3!$A$9,Sheet3!$F$9,IF(D13=Sheet3!$A$10,Sheet3!$F$10,IF(D13=Sheet3!$A$11,Sheet3!$F$11,IF(D13=Sheet3!$A$12,Sheet3!$F$12,IF(D13=Sheet3!$A$13,Sheet3!$F$13,IF(D13=Sheet3!$A$14,Sheet3!$F$14,IF(D13=Sheet3!$A$15,Sheet3!$F$15,IF(D13=Sheet3!$A$16,Sheet3!$F$16,IF(D13=Sheet3!$A$17,I16))))))))))))</f>
        <v>0</v>
      </c>
      <c r="F13" s="18"/>
    </row>
    <row r="14" spans="1:10" x14ac:dyDescent="0.25">
      <c r="A14" s="4"/>
      <c r="B14" s="14"/>
      <c r="C14" s="35"/>
      <c r="D14" s="3"/>
      <c r="E14" s="17">
        <f>IF(D14=Sheet3!$A$6,Sheet3!$F$6,IF(D14=Sheet3!$A$7,Sheet3!$F$7,IF(D14=Sheet3!$A$8,Sheet3!$F$8,IF(D14=Sheet3!$A$9,Sheet3!$F$9,IF(D14=Sheet3!$A$10,Sheet3!$F$10,IF(D14=Sheet3!$A$11,Sheet3!$F$11,IF(D14=Sheet3!$A$12,Sheet3!$F$12,IF(D14=Sheet3!$A$13,Sheet3!$F$13,IF(D14=Sheet3!$A$14,Sheet3!$F$14,IF(D14=Sheet3!$A$15,Sheet3!$F$15,IF(D14=Sheet3!$A$16,Sheet3!$F$16,IF(D14=Sheet3!$A$17,I17))))))))))))</f>
        <v>0</v>
      </c>
      <c r="F14" s="18"/>
    </row>
    <row r="15" spans="1:10" x14ac:dyDescent="0.25">
      <c r="A15" s="4"/>
      <c r="B15" s="14"/>
      <c r="C15" s="35"/>
      <c r="D15" s="3"/>
      <c r="E15" s="17">
        <f>IF(D15=Sheet3!$A$6,Sheet3!$F$6,IF(D15=Sheet3!$A$7,Sheet3!$F$7,IF(D15=Sheet3!$A$8,Sheet3!$F$8,IF(D15=Sheet3!$A$9,Sheet3!$F$9,IF(D15=Sheet3!$A$10,Sheet3!$F$10,IF(D15=Sheet3!$A$11,Sheet3!$F$11,IF(D15=Sheet3!$A$12,Sheet3!$F$12,IF(D15=Sheet3!$A$13,Sheet3!$F$13,IF(D15=Sheet3!$A$14,Sheet3!$F$14,IF(D15=Sheet3!$A$15,Sheet3!$F$15,IF(D15=Sheet3!$A$16,Sheet3!$F$16,IF(D15=Sheet3!$A$17,I18))))))))))))</f>
        <v>0</v>
      </c>
      <c r="F15" s="18"/>
    </row>
    <row r="16" spans="1:10" x14ac:dyDescent="0.25">
      <c r="A16" s="4"/>
      <c r="B16" s="14"/>
      <c r="C16" s="35"/>
      <c r="D16" s="3"/>
      <c r="E16" s="17">
        <f>IF(D16=Sheet3!$A$6,Sheet3!$F$6,IF(D16=Sheet3!$A$7,Sheet3!$F$7,IF(D16=Sheet3!$A$8,Sheet3!$F$8,IF(D16=Sheet3!$A$9,Sheet3!$F$9,IF(D16=Sheet3!$A$10,Sheet3!$F$10,IF(D16=Sheet3!$A$11,Sheet3!$F$11,IF(D16=Sheet3!$A$12,Sheet3!$F$12,IF(D16=Sheet3!$A$13,Sheet3!$F$13,IF(D16=Sheet3!$A$14,Sheet3!$F$14,IF(D16=Sheet3!$A$15,Sheet3!$F$15,IF(D16=Sheet3!$A$16,Sheet3!$F$16,IF(D16=Sheet3!$A$17,I19))))))))))))</f>
        <v>0</v>
      </c>
      <c r="F16" s="18"/>
    </row>
    <row r="17" spans="1:8" x14ac:dyDescent="0.25">
      <c r="A17" s="4"/>
      <c r="B17" s="14"/>
      <c r="C17" s="35"/>
      <c r="D17" s="3"/>
      <c r="E17" s="17">
        <f>IF(D17=Sheet3!$A$6,Sheet3!$F$6,IF(D17=Sheet3!$A$7,Sheet3!$F$7,IF(D17=Sheet3!$A$8,Sheet3!$F$8,IF(D17=Sheet3!$A$9,Sheet3!$F$9,IF(D17=Sheet3!$A$10,Sheet3!$F$10,IF(D17=Sheet3!$A$11,Sheet3!$F$11,IF(D17=Sheet3!$A$12,Sheet3!$F$12,IF(D17=Sheet3!$A$13,Sheet3!$F$13,IF(D17=Sheet3!$A$14,Sheet3!$F$14,IF(D17=Sheet3!$A$15,Sheet3!$F$15,IF(D17=Sheet3!$A$16,Sheet3!$F$16,IF(D17=Sheet3!$A$17,I20))))))))))))</f>
        <v>0</v>
      </c>
      <c r="F17" s="18"/>
      <c r="H17" s="50"/>
    </row>
    <row r="18" spans="1:8" x14ac:dyDescent="0.25">
      <c r="A18" s="4"/>
      <c r="B18" s="14"/>
      <c r="C18" s="35"/>
      <c r="D18" s="3"/>
      <c r="E18" s="17">
        <f>IF(D18=Sheet3!$A$6,Sheet3!$F$6,IF(D18=Sheet3!$A$7,Sheet3!$F$7,IF(D18=Sheet3!$A$8,Sheet3!$F$8,IF(D18=Sheet3!$A$9,Sheet3!$F$9,IF(D18=Sheet3!$A$10,Sheet3!$F$10,IF(D18=Sheet3!$A$11,Sheet3!$F$11,IF(D18=Sheet3!$A$12,Sheet3!$F$12,IF(D18=Sheet3!$A$13,Sheet3!$F$13,IF(D18=Sheet3!$A$14,Sheet3!$F$14,IF(D18=Sheet3!$A$15,Sheet3!$F$15,IF(D18=Sheet3!$A$16,Sheet3!$F$16,IF(D18=Sheet3!$A$17,I21))))))))))))</f>
        <v>0</v>
      </c>
      <c r="F18" s="18"/>
    </row>
    <row r="19" spans="1:8" ht="15.75" thickBot="1" x14ac:dyDescent="0.3">
      <c r="A19" s="10"/>
      <c r="B19" s="10"/>
      <c r="C19" s="36"/>
      <c r="D19" s="9"/>
      <c r="E19" s="17"/>
      <c r="F19" s="18"/>
    </row>
    <row r="20" spans="1:8" ht="15.75" thickBot="1" x14ac:dyDescent="0.3">
      <c r="A20" s="41" t="s">
        <v>12</v>
      </c>
      <c r="B20" s="44" t="e">
        <f>((C13*E13)+(C14*E14)+(C15*E15)+(C16*E16)+(C17*E17)+(C18*E18))/F20</f>
        <v>#DIV/0!</v>
      </c>
      <c r="C20" s="42" t="s">
        <v>13</v>
      </c>
      <c r="D20" s="44" t="e">
        <f>(Sheet3!H6+Sheet3!H7)/(Sheet2!F11+Sheet2!F20)</f>
        <v>#DIV/0!</v>
      </c>
      <c r="E20" s="38" t="s">
        <v>14</v>
      </c>
      <c r="F20" s="19">
        <f>SUM(C13:C18)</f>
        <v>0</v>
      </c>
    </row>
    <row r="21" spans="1:8" x14ac:dyDescent="0.25">
      <c r="A21" s="6" t="s">
        <v>21</v>
      </c>
      <c r="B21" s="43" t="s">
        <v>33</v>
      </c>
      <c r="C21" s="31"/>
      <c r="D21" s="3"/>
      <c r="E21" s="17"/>
      <c r="F21" s="18"/>
    </row>
    <row r="22" spans="1:8" x14ac:dyDescent="0.25">
      <c r="A22" s="4"/>
      <c r="B22" s="14"/>
      <c r="C22" s="35"/>
      <c r="D22" s="3"/>
      <c r="E22" s="17">
        <f>IF(D22=Sheet3!$A$6,Sheet3!$F$6,IF(D22=Sheet3!$A$7,Sheet3!$F$7,IF(D22=Sheet3!$A$8,Sheet3!$F$8,IF(D22=Sheet3!$A$9,Sheet3!$F$9,IF(D22=Sheet3!$A$10,Sheet3!$F$10,IF(D22=Sheet3!$A$11,Sheet3!$F$11,IF(D22=Sheet3!$A$12,Sheet3!$F$12,IF(D22=Sheet3!$A$13,Sheet3!$F$13,IF(D22=Sheet3!$A$14,Sheet3!$F$14,IF(D22=Sheet3!$A$15,Sheet3!$F$15,IF(D22=Sheet3!$A$16,Sheet3!$F$16,IF(D22=Sheet3!$A$17,I25))))))))))))</f>
        <v>0</v>
      </c>
      <c r="F22" s="18"/>
    </row>
    <row r="23" spans="1:8" x14ac:dyDescent="0.25">
      <c r="A23" s="4"/>
      <c r="B23" s="14"/>
      <c r="C23" s="35"/>
      <c r="D23" s="3"/>
      <c r="E23" s="17">
        <f>IF(D23=Sheet3!$A$6,Sheet3!$F$6,IF(D23=Sheet3!$A$7,Sheet3!$F$7,IF(D23=Sheet3!$A$8,Sheet3!$F$8,IF(D23=Sheet3!$A$9,Sheet3!$F$9,IF(D23=Sheet3!$A$10,Sheet3!$F$10,IF(D23=Sheet3!$A$11,Sheet3!$F$11,IF(D23=Sheet3!$A$12,Sheet3!$F$12,IF(D23=Sheet3!$A$13,Sheet3!$F$13,IF(D23=Sheet3!$A$14,Sheet3!$F$14,IF(D23=Sheet3!$A$15,Sheet3!$F$15,IF(D23=Sheet3!$A$16,Sheet3!$F$16,IF(D23=Sheet3!$A$17,I26))))))))))))</f>
        <v>0</v>
      </c>
      <c r="F23" s="18"/>
    </row>
    <row r="24" spans="1:8" x14ac:dyDescent="0.25">
      <c r="A24" s="4"/>
      <c r="B24" s="14"/>
      <c r="C24" s="35"/>
      <c r="D24" s="3"/>
      <c r="E24" s="17">
        <f>IF(D24=Sheet3!$A$6,Sheet3!$F$6,IF(D24=Sheet3!$A$7,Sheet3!$F$7,IF(D24=Sheet3!$A$8,Sheet3!$F$8,IF(D24=Sheet3!$A$9,Sheet3!$F$9,IF(D24=Sheet3!$A$10,Sheet3!$F$10,IF(D24=Sheet3!$A$11,Sheet3!$F$11,IF(D24=Sheet3!$A$12,Sheet3!$F$12,IF(D24=Sheet3!$A$13,Sheet3!$F$13,IF(D24=Sheet3!$A$14,Sheet3!$F$14,IF(D24=Sheet3!$A$15,Sheet3!$F$15,IF(D24=Sheet3!$A$16,Sheet3!$F$16,IF(D24=Sheet3!$A$17,I27))))))))))))</f>
        <v>0</v>
      </c>
      <c r="F24" s="18"/>
    </row>
    <row r="25" spans="1:8" x14ac:dyDescent="0.25">
      <c r="A25" s="4"/>
      <c r="B25" s="14"/>
      <c r="C25" s="35"/>
      <c r="D25" s="3"/>
      <c r="E25" s="17">
        <f>IF(D25=Sheet3!$A$6,Sheet3!$F$6,IF(D25=Sheet3!$A$7,Sheet3!$F$7,IF(D25=Sheet3!$A$8,Sheet3!$F$8,IF(D25=Sheet3!$A$9,Sheet3!$F$9,IF(D25=Sheet3!$A$10,Sheet3!$F$10,IF(D25=Sheet3!$A$11,Sheet3!$F$11,IF(D25=Sheet3!$A$12,Sheet3!$F$12,IF(D25=Sheet3!$A$13,Sheet3!$F$13,IF(D25=Sheet3!$A$14,Sheet3!$F$14,IF(D25=Sheet3!$A$15,Sheet3!$F$15,IF(D25=Sheet3!$A$16,Sheet3!$F$16,IF(D25=Sheet3!$A$17,I28))))))))))))</f>
        <v>0</v>
      </c>
      <c r="F25" s="18"/>
    </row>
    <row r="26" spans="1:8" x14ac:dyDescent="0.25">
      <c r="A26" s="4"/>
      <c r="B26" s="3"/>
      <c r="C26" s="35"/>
      <c r="D26" s="3"/>
      <c r="E26" s="17">
        <f>IF(D26=Sheet3!$A$6,Sheet3!$F$6,IF(D26=Sheet3!$A$7,Sheet3!$F$7,IF(D26=Sheet3!$A$8,Sheet3!$F$8,IF(D26=Sheet3!$A$9,Sheet3!$F$9,IF(D26=Sheet3!$A$10,Sheet3!$F$10,IF(D26=Sheet3!$A$11,Sheet3!$F$11,IF(D26=Sheet3!$A$12,Sheet3!$F$12,IF(D26=Sheet3!$A$13,Sheet3!$F$13,IF(D26=Sheet3!$A$14,Sheet3!$F$14,IF(D26=Sheet3!$A$15,Sheet3!$F$15,IF(D26=Sheet3!$A$16,Sheet3!$F$16,IF(D26=Sheet3!$A$17,I29))))))))))))</f>
        <v>0</v>
      </c>
      <c r="F26" s="18"/>
    </row>
    <row r="27" spans="1:8" x14ac:dyDescent="0.25">
      <c r="A27" s="4"/>
      <c r="B27" s="3"/>
      <c r="C27" s="35"/>
      <c r="D27" s="3"/>
      <c r="E27" s="17">
        <f>IF(D27=Sheet3!$A$6,Sheet3!$F$6,IF(D27=Sheet3!$A$7,Sheet3!$F$7,IF(D27=Sheet3!$A$8,Sheet3!$F$8,IF(D27=Sheet3!$A$9,Sheet3!$F$9,IF(D27=Sheet3!$A$10,Sheet3!$F$10,IF(D27=Sheet3!$A$11,Sheet3!$F$11,IF(D27=Sheet3!$A$12,Sheet3!$F$12,IF(D27=Sheet3!$A$13,Sheet3!$F$13,IF(D27=Sheet3!$A$14,Sheet3!$F$14,IF(D27=Sheet3!$A$15,Sheet3!$F$15,IF(D27=Sheet3!$A$16,Sheet3!$F$16,IF(D27=Sheet3!$A$17,I30))))))))))))</f>
        <v>0</v>
      </c>
      <c r="F27" s="18"/>
    </row>
    <row r="28" spans="1:8" ht="15.75" thickBot="1" x14ac:dyDescent="0.3">
      <c r="A28" s="10"/>
      <c r="B28" s="10"/>
      <c r="C28" s="36"/>
      <c r="D28" s="9"/>
      <c r="E28" s="17"/>
      <c r="F28" s="18"/>
    </row>
    <row r="29" spans="1:8" ht="15.75" thickBot="1" x14ac:dyDescent="0.3">
      <c r="A29" s="41" t="s">
        <v>12</v>
      </c>
      <c r="B29" s="44" t="e">
        <f>((C22*E22)+(C23*E23)+(C24*E24)+(C25*E25)+(C26*E26)+(C27*E27))/F29</f>
        <v>#DIV/0!</v>
      </c>
      <c r="C29" s="42" t="s">
        <v>13</v>
      </c>
      <c r="D29" s="44" t="e">
        <f>(Sheet3!H6+Sheet3!H7+Sheet3!H8)/(Sheet2!F11+Sheet2!F20+Sheet2!F29)</f>
        <v>#DIV/0!</v>
      </c>
      <c r="E29" s="38" t="s">
        <v>14</v>
      </c>
      <c r="F29" s="19">
        <f>SUM(C22:C27)</f>
        <v>0</v>
      </c>
    </row>
    <row r="30" spans="1:8" x14ac:dyDescent="0.25">
      <c r="A30" s="6" t="s">
        <v>22</v>
      </c>
      <c r="B30" s="43" t="s">
        <v>34</v>
      </c>
      <c r="C30" s="31"/>
      <c r="D30" s="3"/>
      <c r="E30" s="17"/>
      <c r="F30" s="18"/>
    </row>
    <row r="31" spans="1:8" x14ac:dyDescent="0.25">
      <c r="A31" s="4"/>
      <c r="B31" s="14"/>
      <c r="C31" s="35"/>
      <c r="D31" s="3"/>
      <c r="E31" s="17">
        <f>IF(D31=Sheet3!$A$6,Sheet3!$F$6,IF(D31=Sheet3!$A$7,Sheet3!$F$7,IF(D31=Sheet3!$A$8,Sheet3!$F$8,IF(D31=Sheet3!$A$9,Sheet3!$F$9,IF(D31=Sheet3!$A$10,Sheet3!$F$10,IF(D31=Sheet3!$A$11,Sheet3!$F$11,IF(D31=Sheet3!$A$12,Sheet3!$F$12,IF(D31=Sheet3!$A$13,Sheet3!$F$13,IF(D31=Sheet3!$A$14,Sheet3!$F$14,IF(D31=Sheet3!$A$15,Sheet3!$F$15,IF(D31=Sheet3!$A$16,Sheet3!$F$16,IF(D31=Sheet3!$A$17,I34))))))))))))</f>
        <v>0</v>
      </c>
      <c r="F31" s="18"/>
    </row>
    <row r="32" spans="1:8" x14ac:dyDescent="0.25">
      <c r="A32" s="4"/>
      <c r="B32" s="14"/>
      <c r="C32" s="35"/>
      <c r="D32" s="3"/>
      <c r="E32" s="17">
        <f>IF(D32=Sheet3!$A$6,Sheet3!$F$6,IF(D32=Sheet3!$A$7,Sheet3!$F$7,IF(D32=Sheet3!$A$8,Sheet3!$F$8,IF(D32=Sheet3!$A$9,Sheet3!$F$9,IF(D32=Sheet3!$A$10,Sheet3!$F$10,IF(D32=Sheet3!$A$11,Sheet3!$F$11,IF(D32=Sheet3!$A$12,Sheet3!$F$12,IF(D32=Sheet3!$A$13,Sheet3!$F$13,IF(D32=Sheet3!$A$14,Sheet3!$F$14,IF(D32=Sheet3!$A$15,Sheet3!$F$15,IF(D32=Sheet3!$A$16,Sheet3!$F$16,IF(D32=Sheet3!$A$17,I35))))))))))))</f>
        <v>0</v>
      </c>
      <c r="F32" s="18"/>
    </row>
    <row r="33" spans="1:6" x14ac:dyDescent="0.25">
      <c r="A33" s="4"/>
      <c r="B33" s="14"/>
      <c r="C33" s="35"/>
      <c r="D33" s="3"/>
      <c r="E33" s="17">
        <f>IF(D33=Sheet3!$A$6,Sheet3!$F$6,IF(D33=Sheet3!$A$7,Sheet3!$F$7,IF(D33=Sheet3!$A$8,Sheet3!$F$8,IF(D33=Sheet3!$A$9,Sheet3!$F$9,IF(D33=Sheet3!$A$10,Sheet3!$F$10,IF(D33=Sheet3!$A$11,Sheet3!$F$11,IF(D33=Sheet3!$A$12,Sheet3!$F$12,IF(D33=Sheet3!$A$13,Sheet3!$F$13,IF(D33=Sheet3!$A$14,Sheet3!$F$14,IF(D33=Sheet3!$A$15,Sheet3!$F$15,IF(D33=Sheet3!$A$16,Sheet3!$F$16,IF(D33=Sheet3!$A$17,I36))))))))))))</f>
        <v>0</v>
      </c>
      <c r="F33" s="18"/>
    </row>
    <row r="34" spans="1:6" x14ac:dyDescent="0.25">
      <c r="A34" s="4"/>
      <c r="B34" s="14"/>
      <c r="C34" s="35"/>
      <c r="D34" s="3"/>
      <c r="E34" s="17">
        <f>IF(D34=Sheet3!$A$6,Sheet3!$F$6,IF(D34=Sheet3!$A$7,Sheet3!$F$7,IF(D34=Sheet3!$A$8,Sheet3!$F$8,IF(D34=Sheet3!$A$9,Sheet3!$F$9,IF(D34=Sheet3!$A$10,Sheet3!$F$10,IF(D34=Sheet3!$A$11,Sheet3!$F$11,IF(D34=Sheet3!$A$12,Sheet3!$F$12,IF(D34=Sheet3!$A$13,Sheet3!$F$13,IF(D34=Sheet3!$A$14,Sheet3!$F$14,IF(D34=Sheet3!$A$15,Sheet3!$F$15,IF(D34=Sheet3!$A$16,Sheet3!$F$16,IF(D34=Sheet3!$A$17,I37))))))))))))</f>
        <v>0</v>
      </c>
      <c r="F34" s="18"/>
    </row>
    <row r="35" spans="1:6" x14ac:dyDescent="0.25">
      <c r="A35" s="4"/>
      <c r="B35" s="14"/>
      <c r="C35" s="35"/>
      <c r="D35" s="3"/>
      <c r="E35" s="17">
        <f>IF(D35=Sheet3!$A$6,Sheet3!$F$6,IF(D35=Sheet3!$A$7,Sheet3!$F$7,IF(D35=Sheet3!$A$8,Sheet3!$F$8,IF(D35=Sheet3!$A$9,Sheet3!$F$9,IF(D35=Sheet3!$A$10,Sheet3!$F$10,IF(D35=Sheet3!$A$11,Sheet3!$F$11,IF(D35=Sheet3!$A$12,Sheet3!$F$12,IF(D35=Sheet3!$A$13,Sheet3!$F$13,IF(D35=Sheet3!$A$14,Sheet3!$F$14,IF(D35=Sheet3!$A$15,Sheet3!$F$15,IF(D35=Sheet3!$A$16,Sheet3!$F$16,IF(D35=Sheet3!$A$17,I38))))))))))))</f>
        <v>0</v>
      </c>
      <c r="F35" s="18"/>
    </row>
    <row r="36" spans="1:6" x14ac:dyDescent="0.25">
      <c r="A36" s="4"/>
      <c r="B36" s="14"/>
      <c r="C36" s="35"/>
      <c r="D36" s="3"/>
      <c r="E36" s="17">
        <f>IF(D36=Sheet3!$A$6,Sheet3!$F$6,IF(D36=Sheet3!$A$7,Sheet3!$F$7,IF(D36=Sheet3!$A$8,Sheet3!$F$8,IF(D36=Sheet3!$A$9,Sheet3!$F$9,IF(D36=Sheet3!$A$10,Sheet3!$F$10,IF(D36=Sheet3!$A$11,Sheet3!$F$11,IF(D36=Sheet3!$A$12,Sheet3!$F$12,IF(D36=Sheet3!$A$13,Sheet3!$F$13,IF(D36=Sheet3!$A$14,Sheet3!$F$14,IF(D36=Sheet3!$A$15,Sheet3!$F$15,IF(D36=Sheet3!$A$16,Sheet3!$F$16,IF(D36=Sheet3!$A$17,I39))))))))))))</f>
        <v>0</v>
      </c>
      <c r="F36" s="18"/>
    </row>
    <row r="37" spans="1:6" ht="15.75" thickBot="1" x14ac:dyDescent="0.3">
      <c r="A37" s="10"/>
      <c r="B37" s="10"/>
      <c r="C37" s="36"/>
      <c r="D37" s="9"/>
      <c r="E37" s="17"/>
      <c r="F37" s="18"/>
    </row>
    <row r="38" spans="1:6" ht="15.75" thickBot="1" x14ac:dyDescent="0.3">
      <c r="A38" s="41" t="s">
        <v>12</v>
      </c>
      <c r="B38" s="44" t="e">
        <f>((C31*E31)+(C32*E32)+(C33*E33)+(C34*E34)+(C35*E35)+(C36*E36))/F38</f>
        <v>#DIV/0!</v>
      </c>
      <c r="C38" s="42" t="s">
        <v>13</v>
      </c>
      <c r="D38" s="44" t="e">
        <f>(Sheet3!H6+Sheet3!H7+Sheet3!H8+Sheet3!H9)/(Sheet2!F11+Sheet2!F20+Sheet2!F29+Sheet2!F38)</f>
        <v>#DIV/0!</v>
      </c>
      <c r="E38" s="38" t="s">
        <v>14</v>
      </c>
      <c r="F38" s="19">
        <f>SUM(C31:C36)</f>
        <v>0</v>
      </c>
    </row>
    <row r="39" spans="1:6" x14ac:dyDescent="0.25">
      <c r="A39" s="6" t="s">
        <v>23</v>
      </c>
      <c r="B39" s="43" t="s">
        <v>35</v>
      </c>
      <c r="C39" s="31"/>
      <c r="D39" s="3"/>
      <c r="E39" s="17"/>
      <c r="F39" s="18"/>
    </row>
    <row r="40" spans="1:6" x14ac:dyDescent="0.25">
      <c r="A40" s="4"/>
      <c r="B40" s="14"/>
      <c r="C40" s="35"/>
      <c r="D40" s="3"/>
      <c r="E40" s="17">
        <f>IF(D40=Sheet3!$A$6,Sheet3!$F$6,IF(D40=Sheet3!$A$7,Sheet3!$F$7,IF(D40=Sheet3!$A$8,Sheet3!$F$8,IF(D40=Sheet3!$A$9,Sheet3!$F$9,IF(D40=Sheet3!$A$10,Sheet3!$F$10,IF(D40=Sheet3!$A$11,Sheet3!$F$11,IF(D40=Sheet3!$A$12,Sheet3!$F$12,IF(D40=Sheet3!$A$13,Sheet3!$F$13,IF(D40=Sheet3!$A$14,Sheet3!$F$14,IF(D40=Sheet3!$A$15,Sheet3!$F$15,IF(D40=Sheet3!$A$16,Sheet3!$F$16,IF(D40=Sheet3!$A$17,I43))))))))))))</f>
        <v>0</v>
      </c>
      <c r="F40" s="18"/>
    </row>
    <row r="41" spans="1:6" x14ac:dyDescent="0.25">
      <c r="A41" s="4"/>
      <c r="B41" s="14"/>
      <c r="C41" s="35"/>
      <c r="D41" s="3"/>
      <c r="E41" s="17">
        <f>IF(D41=Sheet3!$A$6,Sheet3!$F$6,IF(D41=Sheet3!$A$7,Sheet3!$F$7,IF(D41=Sheet3!$A$8,Sheet3!$F$8,IF(D41=Sheet3!$A$9,Sheet3!$F$9,IF(D41=Sheet3!$A$10,Sheet3!$F$10,IF(D41=Sheet3!$A$11,Sheet3!$F$11,IF(D41=Sheet3!$A$12,Sheet3!$F$12,IF(D41=Sheet3!$A$13,Sheet3!$F$13,IF(D41=Sheet3!$A$14,Sheet3!$F$14,IF(D41=Sheet3!$A$15,Sheet3!$F$15,IF(D41=Sheet3!$A$16,Sheet3!$F$16,IF(D41=Sheet3!$A$17,I44))))))))))))</f>
        <v>0</v>
      </c>
      <c r="F41" s="18"/>
    </row>
    <row r="42" spans="1:6" x14ac:dyDescent="0.25">
      <c r="A42" s="4"/>
      <c r="B42" s="14"/>
      <c r="C42" s="35"/>
      <c r="D42" s="3"/>
      <c r="E42" s="17">
        <f>IF(D42=Sheet3!$A$6,Sheet3!$F$6,IF(D42=Sheet3!$A$7,Sheet3!$F$7,IF(D42=Sheet3!$A$8,Sheet3!$F$8,IF(D42=Sheet3!$A$9,Sheet3!$F$9,IF(D42=Sheet3!$A$10,Sheet3!$F$10,IF(D42=Sheet3!$A$11,Sheet3!$F$11,IF(D42=Sheet3!$A$12,Sheet3!$F$12,IF(D42=Sheet3!$A$13,Sheet3!$F$13,IF(D42=Sheet3!$A$14,Sheet3!$F$14,IF(D42=Sheet3!$A$15,Sheet3!$F$15,IF(D42=Sheet3!$A$16,Sheet3!$F$16,IF(D42=Sheet3!$A$17,I45))))))))))))</f>
        <v>0</v>
      </c>
      <c r="F42" s="18"/>
    </row>
    <row r="43" spans="1:6" x14ac:dyDescent="0.25">
      <c r="A43" s="4"/>
      <c r="B43" s="14"/>
      <c r="C43" s="35"/>
      <c r="D43" s="3"/>
      <c r="E43" s="17">
        <f>IF(D43=Sheet3!$A$6,Sheet3!$F$6,IF(D43=Sheet3!$A$7,Sheet3!$F$7,IF(D43=Sheet3!$A$8,Sheet3!$F$8,IF(D43=Sheet3!$A$9,Sheet3!$F$9,IF(D43=Sheet3!$A$10,Sheet3!$F$10,IF(D43=Sheet3!$A$11,Sheet3!$F$11,IF(D43=Sheet3!$A$12,Sheet3!$F$12,IF(D43=Sheet3!$A$13,Sheet3!$F$13,IF(D43=Sheet3!$A$14,Sheet3!$F$14,IF(D43=Sheet3!$A$15,Sheet3!$F$15,IF(D43=Sheet3!$A$16,Sheet3!$F$16,IF(D43=Sheet3!$A$17,I46))))))))))))</f>
        <v>0</v>
      </c>
      <c r="F43" s="18"/>
    </row>
    <row r="44" spans="1:6" x14ac:dyDescent="0.25">
      <c r="A44" s="4"/>
      <c r="B44" s="14"/>
      <c r="C44" s="35"/>
      <c r="D44" s="3"/>
      <c r="E44" s="17">
        <f>IF(D44=Sheet3!$A$6,Sheet3!$F$6,IF(D44=Sheet3!$A$7,Sheet3!$F$7,IF(D44=Sheet3!$A$8,Sheet3!$F$8,IF(D44=Sheet3!$A$9,Sheet3!$F$9,IF(D44=Sheet3!$A$10,Sheet3!$F$10,IF(D44=Sheet3!$A$11,Sheet3!$F$11,IF(D44=Sheet3!$A$12,Sheet3!$F$12,IF(D44=Sheet3!$A$13,Sheet3!$F$13,IF(D44=Sheet3!$A$14,Sheet3!$F$14,IF(D44=Sheet3!$A$15,Sheet3!$F$15,IF(D44=Sheet3!$A$16,Sheet3!$F$16,IF(D44=Sheet3!$A$17,I47))))))))))))</f>
        <v>0</v>
      </c>
      <c r="F44" s="18"/>
    </row>
    <row r="45" spans="1:6" x14ac:dyDescent="0.25">
      <c r="A45" s="4"/>
      <c r="B45" s="3"/>
      <c r="C45" s="35"/>
      <c r="D45" s="3"/>
      <c r="E45" s="17">
        <f>IF(D45=Sheet3!$A$6,Sheet3!$F$6,IF(D45=Sheet3!$A$7,Sheet3!$F$7,IF(D45=Sheet3!$A$8,Sheet3!$F$8,IF(D45=Sheet3!$A$9,Sheet3!$F$9,IF(D45=Sheet3!$A$10,Sheet3!$F$10,IF(D45=Sheet3!$A$11,Sheet3!$F$11,IF(D45=Sheet3!$A$12,Sheet3!$F$12,IF(D45=Sheet3!$A$13,Sheet3!$F$13,IF(D45=Sheet3!$A$14,Sheet3!$F$14,IF(D45=Sheet3!$A$15,Sheet3!$F$15,IF(D45=Sheet3!$A$16,Sheet3!$F$16,IF(D45=Sheet3!$A$17,I48))))))))))))</f>
        <v>0</v>
      </c>
      <c r="F45" s="18"/>
    </row>
    <row r="46" spans="1:6" ht="15.75" thickBot="1" x14ac:dyDescent="0.3">
      <c r="A46" s="10"/>
      <c r="B46" s="10"/>
      <c r="C46" s="36"/>
      <c r="D46" s="9"/>
      <c r="E46" s="17"/>
      <c r="F46" s="18"/>
    </row>
    <row r="47" spans="1:6" ht="15.75" thickBot="1" x14ac:dyDescent="0.3">
      <c r="A47" s="41" t="s">
        <v>12</v>
      </c>
      <c r="B47" s="44" t="e">
        <f>((C40*E40)+(C41*E41)+(C42*E42)+(C43*E43)+(C44*E44)+(C45*E45))/F47</f>
        <v>#DIV/0!</v>
      </c>
      <c r="C47" s="42" t="s">
        <v>13</v>
      </c>
      <c r="D47" s="44" t="e">
        <f>(Sheet3!H6+Sheet3!H7+Sheet3!H8+Sheet3!H9+Sheet3!H10)/(Sheet2!F11+Sheet2!F20+Sheet2!F29+Sheet2!F38+Sheet2!F47)</f>
        <v>#DIV/0!</v>
      </c>
      <c r="E47" s="38" t="s">
        <v>14</v>
      </c>
      <c r="F47" s="19">
        <f>SUM(C40:C45)</f>
        <v>0</v>
      </c>
    </row>
    <row r="48" spans="1:6" x14ac:dyDescent="0.25">
      <c r="A48" s="6" t="s">
        <v>24</v>
      </c>
      <c r="B48" s="43" t="s">
        <v>37</v>
      </c>
      <c r="C48" s="31"/>
      <c r="D48" s="3"/>
      <c r="E48" s="17"/>
      <c r="F48" s="18"/>
    </row>
    <row r="49" spans="1:6" x14ac:dyDescent="0.25">
      <c r="A49" s="4"/>
      <c r="B49" s="14"/>
      <c r="C49" s="35"/>
      <c r="D49" s="3"/>
      <c r="E49" s="17">
        <f>IF(D49=Sheet3!$A$6,Sheet3!$F$6,IF(D49=Sheet3!$A$7,Sheet3!$F$7,IF(D49=Sheet3!$A$8,Sheet3!$F$8,IF(D49=Sheet3!$A$9,Sheet3!$F$9,IF(D49=Sheet3!$A$10,Sheet3!$F$10,IF(D49=Sheet3!$A$11,Sheet3!$F$11,IF(D49=Sheet3!$A$12,Sheet3!$F$12,IF(D49=Sheet3!$A$13,Sheet3!$F$13,IF(D49=Sheet3!$A$14,Sheet3!$F$14,IF(D49=Sheet3!$A$15,Sheet3!$F$15,IF(D49=Sheet3!$A$16,Sheet3!$F$16,IF(D49=Sheet3!$A$17,I52))))))))))))</f>
        <v>0</v>
      </c>
      <c r="F49" s="18"/>
    </row>
    <row r="50" spans="1:6" x14ac:dyDescent="0.25">
      <c r="A50" s="4"/>
      <c r="B50" s="14"/>
      <c r="C50" s="35"/>
      <c r="D50" s="3"/>
      <c r="E50" s="17">
        <f>IF(D50=Sheet3!$A$6,Sheet3!$F$6,IF(D50=Sheet3!$A$7,Sheet3!$F$7,IF(D50=Sheet3!$A$8,Sheet3!$F$8,IF(D50=Sheet3!$A$9,Sheet3!$F$9,IF(D50=Sheet3!$A$10,Sheet3!$F$10,IF(D50=Sheet3!$A$11,Sheet3!$F$11,IF(D50=Sheet3!$A$12,Sheet3!$F$12,IF(D50=Sheet3!$A$13,Sheet3!$F$13,IF(D50=Sheet3!$A$14,Sheet3!$F$14,IF(D50=Sheet3!$A$15,Sheet3!$F$15,IF(D50=Sheet3!$A$16,Sheet3!$F$16,IF(D50=Sheet3!$A$17,I53))))))))))))</f>
        <v>0</v>
      </c>
      <c r="F50" s="18"/>
    </row>
    <row r="51" spans="1:6" x14ac:dyDescent="0.25">
      <c r="A51" s="4"/>
      <c r="B51" s="14"/>
      <c r="C51" s="35"/>
      <c r="D51" s="3"/>
      <c r="E51" s="17">
        <f>IF(D51=Sheet3!$A$6,Sheet3!$F$6,IF(D51=Sheet3!$A$7,Sheet3!$F$7,IF(D51=Sheet3!$A$8,Sheet3!$F$8,IF(D51=Sheet3!$A$9,Sheet3!$F$9,IF(D51=Sheet3!$A$10,Sheet3!$F$10,IF(D51=Sheet3!$A$11,Sheet3!$F$11,IF(D51=Sheet3!$A$12,Sheet3!$F$12,IF(D51=Sheet3!$A$13,Sheet3!$F$13,IF(D51=Sheet3!$A$14,Sheet3!$F$14,IF(D51=Sheet3!$A$15,Sheet3!$F$15,IF(D51=Sheet3!$A$16,Sheet3!$F$16,IF(D51=Sheet3!$A$17,I54))))))))))))</f>
        <v>0</v>
      </c>
      <c r="F51" s="18"/>
    </row>
    <row r="52" spans="1:6" x14ac:dyDescent="0.25">
      <c r="A52" s="4"/>
      <c r="B52" s="14"/>
      <c r="C52" s="35"/>
      <c r="D52" s="3"/>
      <c r="E52" s="17">
        <f>IF(D52=Sheet3!$A$6,Sheet3!$F$6,IF(D52=Sheet3!$A$7,Sheet3!$F$7,IF(D52=Sheet3!$A$8,Sheet3!$F$8,IF(D52=Sheet3!$A$9,Sheet3!$F$9,IF(D52=Sheet3!$A$10,Sheet3!$F$10,IF(D52=Sheet3!$A$11,Sheet3!$F$11,IF(D52=Sheet3!$A$12,Sheet3!$F$12,IF(D52=Sheet3!$A$13,Sheet3!$F$13,IF(D52=Sheet3!$A$14,Sheet3!$F$14,IF(D52=Sheet3!$A$15,Sheet3!$F$15,IF(D52=Sheet3!$A$16,Sheet3!$F$16,IF(D52=Sheet3!$A$17,I55))))))))))))</f>
        <v>0</v>
      </c>
      <c r="F52" s="18"/>
    </row>
    <row r="53" spans="1:6" x14ac:dyDescent="0.25">
      <c r="A53" s="4"/>
      <c r="B53" s="3"/>
      <c r="C53" s="35"/>
      <c r="D53" s="3"/>
      <c r="E53" s="17">
        <f>IF(D53=Sheet3!$A$6,Sheet3!$F$6,IF(D53=Sheet3!$A$7,Sheet3!$F$7,IF(D53=Sheet3!$A$8,Sheet3!$F$8,IF(D53=Sheet3!$A$9,Sheet3!$F$9,IF(D53=Sheet3!$A$10,Sheet3!$F$10,IF(D53=Sheet3!$A$11,Sheet3!$F$11,IF(D53=Sheet3!$A$12,Sheet3!$F$12,IF(D53=Sheet3!$A$13,Sheet3!$F$13,IF(D53=Sheet3!$A$14,Sheet3!$F$14,IF(D53=Sheet3!$A$15,Sheet3!$F$15,IF(D53=Sheet3!$A$16,Sheet3!$F$16,IF(D53=Sheet3!$A$17,I56))))))))))))</f>
        <v>0</v>
      </c>
      <c r="F53" s="18"/>
    </row>
    <row r="54" spans="1:6" x14ac:dyDescent="0.25">
      <c r="A54" s="4"/>
      <c r="B54" s="3"/>
      <c r="C54" s="35"/>
      <c r="D54" s="3"/>
      <c r="E54" s="17">
        <f>IF(D54=Sheet3!$A$6,Sheet3!$F$6,IF(D54=Sheet3!$A$7,Sheet3!$F$7,IF(D54=Sheet3!$A$8,Sheet3!$F$8,IF(D54=Sheet3!$A$9,Sheet3!$F$9,IF(D54=Sheet3!$A$10,Sheet3!$F$10,IF(D54=Sheet3!$A$11,Sheet3!$F$11,IF(D54=Sheet3!$A$12,Sheet3!$F$12,IF(D54=Sheet3!$A$13,Sheet3!$F$13,IF(D54=Sheet3!$A$14,Sheet3!$F$14,IF(D54=Sheet3!$A$15,Sheet3!$F$15,IF(D54=Sheet3!$A$16,Sheet3!$F$16,IF(D54=Sheet3!$A$17,I57))))))))))))</f>
        <v>0</v>
      </c>
      <c r="F54" s="18"/>
    </row>
    <row r="55" spans="1:6" ht="15.75" thickBot="1" x14ac:dyDescent="0.3">
      <c r="A55" s="10"/>
      <c r="B55" s="10"/>
      <c r="C55" s="36"/>
      <c r="D55" s="9"/>
      <c r="E55" s="17"/>
      <c r="F55" s="18"/>
    </row>
    <row r="56" spans="1:6" ht="15.75" thickBot="1" x14ac:dyDescent="0.3">
      <c r="A56" s="41" t="s">
        <v>12</v>
      </c>
      <c r="B56" s="44" t="e">
        <f>((C49*E49)+(C50*E50)+(C51*E51)+(C52*E52)+(C53*E53)+(C54*E54))/F56</f>
        <v>#DIV/0!</v>
      </c>
      <c r="C56" s="42" t="s">
        <v>13</v>
      </c>
      <c r="D56" s="30" t="e">
        <f>(Sheet3!H6+Sheet3!H7+Sheet3!H8+Sheet3!H9+Sheet3!H10+Sheet3!H11)/(Sheet2!F11+Sheet2!F20+Sheet2!F29+Sheet2!F38+Sheet2!F47+Sheet2!F56)</f>
        <v>#DIV/0!</v>
      </c>
      <c r="E56" s="38" t="s">
        <v>14</v>
      </c>
      <c r="F56" s="19">
        <f>SUM(C49:C54)</f>
        <v>0</v>
      </c>
    </row>
    <row r="57" spans="1:6" x14ac:dyDescent="0.25">
      <c r="A57" s="6" t="s">
        <v>25</v>
      </c>
      <c r="B57" s="43" t="s">
        <v>38</v>
      </c>
      <c r="C57" s="31"/>
      <c r="D57" s="3"/>
      <c r="E57" s="17"/>
      <c r="F57" s="18"/>
    </row>
    <row r="58" spans="1:6" x14ac:dyDescent="0.25">
      <c r="A58" s="4"/>
      <c r="B58" s="14"/>
      <c r="C58" s="35"/>
      <c r="D58" s="3"/>
      <c r="E58" s="17">
        <f>IF(D58=Sheet3!$A$6,Sheet3!$F$6,IF(D58=Sheet3!$A$7,Sheet3!$F$7,IF(D58=Sheet3!$A$8,Sheet3!$F$8,IF(D58=Sheet3!$A$9,Sheet3!$F$9,IF(D58=Sheet3!$A$10,Sheet3!$F$10,IF(D58=Sheet3!$A$11,Sheet3!$F$11,IF(D58=Sheet3!$A$12,Sheet3!$F$12,IF(D58=Sheet3!$A$13,Sheet3!$F$13,IF(D58=Sheet3!$A$14,Sheet3!$F$14,IF(D58=Sheet3!$A$15,Sheet3!$F$15,IF(D58=Sheet3!$A$16,Sheet3!$F$16,IF(D58=Sheet3!$A$17,I61))))))))))))</f>
        <v>0</v>
      </c>
      <c r="F58" s="18"/>
    </row>
    <row r="59" spans="1:6" x14ac:dyDescent="0.25">
      <c r="A59" s="4"/>
      <c r="B59" s="14"/>
      <c r="C59" s="35"/>
      <c r="D59" s="3"/>
      <c r="E59" s="17">
        <f>IF(D59=Sheet3!$A$6,Sheet3!$F$6,IF(D59=Sheet3!$A$7,Sheet3!$F$7,IF(D59=Sheet3!$A$8,Sheet3!$F$8,IF(D59=Sheet3!$A$9,Sheet3!$F$9,IF(D59=Sheet3!$A$10,Sheet3!$F$10,IF(D59=Sheet3!$A$11,Sheet3!$F$11,IF(D59=Sheet3!$A$12,Sheet3!$F$12,IF(D59=Sheet3!$A$13,Sheet3!$F$13,IF(D59=Sheet3!$A$14,Sheet3!$F$14,IF(D59=Sheet3!$A$15,Sheet3!$F$15,IF(D59=Sheet3!$A$16,Sheet3!$F$16,IF(D59=Sheet3!$A$17,I62))))))))))))</f>
        <v>0</v>
      </c>
      <c r="F59" s="18"/>
    </row>
    <row r="60" spans="1:6" x14ac:dyDescent="0.25">
      <c r="A60" s="4"/>
      <c r="B60" s="14"/>
      <c r="C60" s="35"/>
      <c r="D60" s="3"/>
      <c r="E60" s="17">
        <f>IF(D60=Sheet3!$A$6,Sheet3!$F$6,IF(D60=Sheet3!$A$7,Sheet3!$F$7,IF(D60=Sheet3!$A$8,Sheet3!$F$8,IF(D60=Sheet3!$A$9,Sheet3!$F$9,IF(D60=Sheet3!$A$10,Sheet3!$F$10,IF(D60=Sheet3!$A$11,Sheet3!$F$11,IF(D60=Sheet3!$A$12,Sheet3!$F$12,IF(D60=Sheet3!$A$13,Sheet3!$F$13,IF(D60=Sheet3!$A$14,Sheet3!$F$14,IF(D60=Sheet3!$A$15,Sheet3!$F$15,IF(D60=Sheet3!$A$16,Sheet3!$F$16,IF(D60=Sheet3!$A$17,I63))))))))))))</f>
        <v>0</v>
      </c>
      <c r="F60" s="18"/>
    </row>
    <row r="61" spans="1:6" x14ac:dyDescent="0.25">
      <c r="A61" s="4"/>
      <c r="B61" s="14"/>
      <c r="C61" s="35"/>
      <c r="D61" s="3"/>
      <c r="E61" s="17">
        <f>IF(D61=Sheet3!$A$6,Sheet3!$F$6,IF(D61=Sheet3!$A$7,Sheet3!$F$7,IF(D61=Sheet3!$A$8,Sheet3!$F$8,IF(D61=Sheet3!$A$9,Sheet3!$F$9,IF(D61=Sheet3!$A$10,Sheet3!$F$10,IF(D61=Sheet3!$A$11,Sheet3!$F$11,IF(D61=Sheet3!$A$12,Sheet3!$F$12,IF(D61=Sheet3!$A$13,Sheet3!$F$13,IF(D61=Sheet3!$A$14,Sheet3!$F$14,IF(D61=Sheet3!$A$15,Sheet3!$F$15,IF(D61=Sheet3!$A$16,Sheet3!$F$16,IF(D61=Sheet3!$A$17,I64))))))))))))</f>
        <v>0</v>
      </c>
      <c r="F61" s="18"/>
    </row>
    <row r="62" spans="1:6" x14ac:dyDescent="0.25">
      <c r="A62" s="4"/>
      <c r="B62" s="14"/>
      <c r="C62" s="35"/>
      <c r="D62" s="3"/>
      <c r="E62" s="17">
        <f>IF(D62=Sheet3!$A$6,Sheet3!$F$6,IF(D62=Sheet3!$A$7,Sheet3!$F$7,IF(D62=Sheet3!$A$8,Sheet3!$F$8,IF(D62=Sheet3!$A$9,Sheet3!$F$9,IF(D62=Sheet3!$A$10,Sheet3!$F$10,IF(D62=Sheet3!$A$11,Sheet3!$F$11,IF(D62=Sheet3!$A$12,Sheet3!$F$12,IF(D62=Sheet3!$A$13,Sheet3!$F$13,IF(D62=Sheet3!$A$14,Sheet3!$F$14,IF(D62=Sheet3!$A$15,Sheet3!$F$15,IF(D62=Sheet3!$A$16,Sheet3!$F$16,IF(D62=Sheet3!$A$17,I65))))))))))))</f>
        <v>0</v>
      </c>
      <c r="F62" s="18"/>
    </row>
    <row r="63" spans="1:6" x14ac:dyDescent="0.25">
      <c r="A63" s="4"/>
      <c r="B63" s="14"/>
      <c r="C63" s="35"/>
      <c r="D63" s="3"/>
      <c r="E63" s="17">
        <f>IF(D63=Sheet3!$A$6,Sheet3!$F$6,IF(D63=Sheet3!$A$7,Sheet3!$F$7,IF(D63=Sheet3!$A$8,Sheet3!$F$8,IF(D63=Sheet3!$A$9,Sheet3!$F$9,IF(D63=Sheet3!$A$10,Sheet3!$F$10,IF(D63=Sheet3!$A$11,Sheet3!$F$11,IF(D63=Sheet3!$A$12,Sheet3!$F$12,IF(D63=Sheet3!$A$13,Sheet3!$F$13,IF(D63=Sheet3!$A$14,Sheet3!$F$14,IF(D63=Sheet3!$A$15,Sheet3!$F$15,IF(D63=Sheet3!$A$16,Sheet3!$F$16,IF(D63=Sheet3!$A$17,I66))))))))))))</f>
        <v>0</v>
      </c>
      <c r="F63" s="18"/>
    </row>
    <row r="64" spans="1:6" ht="15.75" thickBot="1" x14ac:dyDescent="0.3">
      <c r="A64" s="10"/>
      <c r="B64" s="10"/>
      <c r="C64" s="36"/>
      <c r="D64" s="9"/>
      <c r="E64" s="17"/>
      <c r="F64" s="18"/>
    </row>
    <row r="65" spans="1:6" ht="15.75" thickBot="1" x14ac:dyDescent="0.3">
      <c r="A65" s="41" t="s">
        <v>12</v>
      </c>
      <c r="B65" s="44" t="e">
        <f>((C58*E58)+(C59*E59)+(C60*E60)+(C61*E61)+(C62*E62)+(C63*E63))/F65</f>
        <v>#DIV/0!</v>
      </c>
      <c r="C65" s="42" t="s">
        <v>13</v>
      </c>
      <c r="D65" s="49" t="e">
        <f>(Sheet3!H6+Sheet3!H7+Sheet3!H8+Sheet3!H9+Sheet3!H10+Sheet3!H11+Sheet3!H12)/(Sheet2!F11+Sheet2!F20+Sheet2!F29+Sheet2!F38+Sheet2!F47+Sheet2!F56+Sheet2!F65)</f>
        <v>#DIV/0!</v>
      </c>
      <c r="E65" s="38" t="s">
        <v>14</v>
      </c>
      <c r="F65" s="19">
        <f>SUM(C58:C63)</f>
        <v>0</v>
      </c>
    </row>
    <row r="66" spans="1:6" x14ac:dyDescent="0.25">
      <c r="A66" s="6" t="s">
        <v>26</v>
      </c>
      <c r="B66" s="43" t="s">
        <v>36</v>
      </c>
      <c r="C66" s="31"/>
      <c r="D66" s="3"/>
      <c r="E66" s="17"/>
      <c r="F66" s="18"/>
    </row>
    <row r="67" spans="1:6" x14ac:dyDescent="0.25">
      <c r="A67" s="4"/>
      <c r="B67" s="14"/>
      <c r="C67" s="35"/>
      <c r="D67" s="3"/>
      <c r="E67" s="17">
        <f>IF(D67=Sheet3!$A$6,Sheet3!$F$6,IF(D67=Sheet3!$A$7,Sheet3!$F$7,IF(D67=Sheet3!$A$8,Sheet3!$F$8,IF(D67=Sheet3!$A$9,Sheet3!$F$9,IF(D67=Sheet3!$A$10,Sheet3!$F$10,IF(D67=Sheet3!$A$11,Sheet3!$F$11,IF(D67=Sheet3!$A$12,Sheet3!$F$12,IF(D67=Sheet3!$A$13,Sheet3!$F$13,IF(D67=Sheet3!$A$14,Sheet3!$F$14,IF(D67=Sheet3!$A$15,Sheet3!$F$15,IF(D67=Sheet3!$A$16,Sheet3!$F$16,IF(D67=Sheet3!$A$17,I70))))))))))))</f>
        <v>0</v>
      </c>
      <c r="F67" s="18"/>
    </row>
    <row r="68" spans="1:6" x14ac:dyDescent="0.25">
      <c r="A68" s="4"/>
      <c r="B68" s="14"/>
      <c r="C68" s="35"/>
      <c r="D68" s="3"/>
      <c r="E68" s="17">
        <f>IF(D68=Sheet3!$A$6,Sheet3!$F$6,IF(D68=Sheet3!$A$7,Sheet3!$F$7,IF(D68=Sheet3!$A$8,Sheet3!$F$8,IF(D68=Sheet3!$A$9,Sheet3!$F$9,IF(D68=Sheet3!$A$10,Sheet3!$F$10,IF(D68=Sheet3!$A$11,Sheet3!$F$11,IF(D68=Sheet3!$A$12,Sheet3!$F$12,IF(D68=Sheet3!$A$13,Sheet3!$F$13,IF(D68=Sheet3!$A$14,Sheet3!$F$14,IF(D68=Sheet3!$A$15,Sheet3!$F$15,IF(D68=Sheet3!$A$16,Sheet3!$F$16,IF(D68=Sheet3!$A$17,I71))))))))))))</f>
        <v>0</v>
      </c>
      <c r="F68" s="18"/>
    </row>
    <row r="69" spans="1:6" x14ac:dyDescent="0.25">
      <c r="A69" s="4"/>
      <c r="B69" s="14"/>
      <c r="C69" s="35"/>
      <c r="D69" s="3"/>
      <c r="E69" s="17">
        <f>IF(D69=Sheet3!$A$6,Sheet3!$F$6,IF(D69=Sheet3!$A$7,Sheet3!$F$7,IF(D69=Sheet3!$A$8,Sheet3!$F$8,IF(D69=Sheet3!$A$9,Sheet3!$F$9,IF(D69=Sheet3!$A$10,Sheet3!$F$10,IF(D69=Sheet3!$A$11,Sheet3!$F$11,IF(D69=Sheet3!$A$12,Sheet3!$F$12,IF(D69=Sheet3!$A$13,Sheet3!$F$13,IF(D69=Sheet3!$A$14,Sheet3!$F$14,IF(D69=Sheet3!$A$15,Sheet3!$F$15,IF(D69=Sheet3!$A$16,Sheet3!$F$16,IF(D69=Sheet3!$A$17,I72))))))))))))</f>
        <v>0</v>
      </c>
      <c r="F69" s="18"/>
    </row>
    <row r="70" spans="1:6" x14ac:dyDescent="0.25">
      <c r="A70" s="4"/>
      <c r="B70" s="3"/>
      <c r="C70" s="35"/>
      <c r="D70" s="3"/>
      <c r="E70" s="17">
        <f>IF(D70=Sheet3!$A$6,Sheet3!$F$6,IF(D70=Sheet3!$A$7,Sheet3!$F$7,IF(D70=Sheet3!$A$8,Sheet3!$F$8,IF(D70=Sheet3!$A$9,Sheet3!$F$9,IF(D70=Sheet3!$A$10,Sheet3!$F$10,IF(D70=Sheet3!$A$11,Sheet3!$F$11,IF(D70=Sheet3!$A$12,Sheet3!$F$12,IF(D70=Sheet3!$A$13,Sheet3!$F$13,IF(D70=Sheet3!$A$14,Sheet3!$F$14,IF(D70=Sheet3!$A$15,Sheet3!$F$15,IF(D70=Sheet3!$A$16,Sheet3!$F$16,IF(D70=Sheet3!$A$17,I73))))))))))))</f>
        <v>0</v>
      </c>
      <c r="F70" s="18"/>
    </row>
    <row r="71" spans="1:6" x14ac:dyDescent="0.25">
      <c r="A71" s="4"/>
      <c r="B71" s="3"/>
      <c r="C71" s="35"/>
      <c r="D71" s="3"/>
      <c r="E71" s="17">
        <f>IF(D71=Sheet3!$A$6,Sheet3!$F$6,IF(D71=Sheet3!$A$7,Sheet3!$F$7,IF(D71=Sheet3!$A$8,Sheet3!$F$8,IF(D71=Sheet3!$A$9,Sheet3!$F$9,IF(D71=Sheet3!$A$10,Sheet3!$F$10,IF(D71=Sheet3!$A$11,Sheet3!$F$11,IF(D71=Sheet3!$A$12,Sheet3!$F$12,IF(D71=Sheet3!$A$13,Sheet3!$F$13,IF(D71=Sheet3!$A$14,Sheet3!$F$14,IF(D71=Sheet3!$A$15,Sheet3!$F$15,IF(D71=Sheet3!$A$16,Sheet3!$F$16,IF(D71=Sheet3!$A$17,I74))))))))))))</f>
        <v>0</v>
      </c>
      <c r="F71" s="18"/>
    </row>
    <row r="72" spans="1:6" x14ac:dyDescent="0.25">
      <c r="A72" s="4"/>
      <c r="B72" s="3"/>
      <c r="C72" s="35"/>
      <c r="D72" s="3"/>
      <c r="E72" s="17">
        <f>IF(D72=Sheet3!$A$6,Sheet3!$F$6,IF(D72=Sheet3!$A$7,Sheet3!$F$7,IF(D72=Sheet3!$A$8,Sheet3!$F$8,IF(D72=Sheet3!$A$9,Sheet3!$F$9,IF(D72=Sheet3!$A$10,Sheet3!$F$10,IF(D72=Sheet3!$A$11,Sheet3!$F$11,IF(D72=Sheet3!$A$12,Sheet3!$F$12,IF(D72=Sheet3!$A$13,Sheet3!$F$13,IF(D72=Sheet3!$A$14,Sheet3!$F$14,IF(D72=Sheet3!$A$15,Sheet3!$F$15,IF(D72=Sheet3!$A$16,Sheet3!$F$16,IF(D72=Sheet3!$A$17,I75))))))))))))</f>
        <v>0</v>
      </c>
      <c r="F72" s="18"/>
    </row>
    <row r="73" spans="1:6" ht="15.75" thickBot="1" x14ac:dyDescent="0.3">
      <c r="A73" s="10"/>
      <c r="B73" s="10"/>
      <c r="C73" s="36"/>
      <c r="D73" s="9"/>
      <c r="E73" s="17"/>
      <c r="F73" s="18"/>
    </row>
    <row r="74" spans="1:6" ht="15.75" thickBot="1" x14ac:dyDescent="0.3">
      <c r="A74" s="41" t="s">
        <v>12</v>
      </c>
      <c r="B74" s="44" t="e">
        <f>((C67*E67)+(C68*E68)+(C69*E69)+(C70*E70)+(C71*E71)+(C72*E72))/F74</f>
        <v>#DIV/0!</v>
      </c>
      <c r="C74" s="42" t="s">
        <v>13</v>
      </c>
      <c r="D74" s="30" t="e">
        <f>(Sheet3!H6+Sheet3!H7+Sheet3!H8+Sheet3!H9+Sheet3!H10+Sheet3!H11+Sheet3!H12+Sheet3!H13)/(Sheet2!F11+Sheet2!F20+Sheet2!F29+Sheet2!F38+Sheet2!F47+Sheet2!F56+Sheet2!F65+Sheet2!F74)</f>
        <v>#DIV/0!</v>
      </c>
      <c r="E74" s="38" t="s">
        <v>14</v>
      </c>
      <c r="F74" s="20">
        <f>SUM(C67:C72)</f>
        <v>0</v>
      </c>
    </row>
    <row r="75" spans="1:6" x14ac:dyDescent="0.25">
      <c r="A75" s="6" t="s">
        <v>27</v>
      </c>
      <c r="B75" s="43" t="s">
        <v>39</v>
      </c>
      <c r="C75" s="31"/>
      <c r="D75" s="3"/>
      <c r="E75" s="17"/>
      <c r="F75" s="18"/>
    </row>
    <row r="76" spans="1:6" x14ac:dyDescent="0.25">
      <c r="A76" s="4"/>
      <c r="B76" s="21"/>
      <c r="C76" s="35"/>
      <c r="D76" s="3"/>
      <c r="E76" s="17">
        <f>IF(D76=Sheet3!$A$6,Sheet3!$F$6,IF(D76=Sheet3!$A$7,Sheet3!$F$7,IF(D76=Sheet3!$A$8,Sheet3!$F$8,IF(D76=Sheet3!$A$9,Sheet3!$F$9,IF(D76=Sheet3!$A$10,Sheet3!$F$10,IF(D76=Sheet3!$A$11,Sheet3!$F$11,IF(D76=Sheet3!$A$12,Sheet3!$F$12,IF(D76=Sheet3!$A$13,Sheet3!$F$13,IF(D76=Sheet3!$A$14,Sheet3!$F$14,IF(D76=Sheet3!$A$15,Sheet3!$F$15,IF(D76=Sheet3!$A$16,Sheet3!$F$16,IF(D76=Sheet3!$A$17,I79))))))))))))</f>
        <v>0</v>
      </c>
      <c r="F76" s="18"/>
    </row>
    <row r="77" spans="1:6" x14ac:dyDescent="0.25">
      <c r="A77" s="4"/>
      <c r="B77" s="14"/>
      <c r="C77" s="35"/>
      <c r="D77" s="3"/>
      <c r="E77" s="17">
        <f>IF(D77=Sheet3!$A$6,Sheet3!$F$6,IF(D77=Sheet3!$A$7,Sheet3!$F$7,IF(D77=Sheet3!$A$8,Sheet3!$F$8,IF(D77=Sheet3!$A$9,Sheet3!$F$9,IF(D77=Sheet3!$A$10,Sheet3!$F$10,IF(D77=Sheet3!$A$11,Sheet3!$F$11,IF(D77=Sheet3!$A$12,Sheet3!$F$12,IF(D77=Sheet3!$A$13,Sheet3!$F$13,IF(D77=Sheet3!$A$14,Sheet3!$F$14,IF(D77=Sheet3!$A$15,Sheet3!$F$15,IF(D77=Sheet3!$A$16,Sheet3!$F$16,IF(D77=Sheet3!$A$17,I80))))))))))))</f>
        <v>0</v>
      </c>
      <c r="F77" s="18"/>
    </row>
    <row r="78" spans="1:6" x14ac:dyDescent="0.25">
      <c r="A78" s="4"/>
      <c r="B78" s="14"/>
      <c r="C78" s="35"/>
      <c r="D78" s="3"/>
      <c r="E78" s="17">
        <f>IF(D78=Sheet3!$A$6,Sheet3!$F$6,IF(D78=Sheet3!$A$7,Sheet3!$F$7,IF(D78=Sheet3!$A$8,Sheet3!$F$8,IF(D78=Sheet3!$A$9,Sheet3!$F$9,IF(D78=Sheet3!$A$10,Sheet3!$F$10,IF(D78=Sheet3!$A$11,Sheet3!$F$11,IF(D78=Sheet3!$A$12,Sheet3!$F$12,IF(D78=Sheet3!$A$13,Sheet3!$F$13,IF(D78=Sheet3!$A$14,Sheet3!$F$14,IF(D78=Sheet3!$A$15,Sheet3!$F$15,IF(D78=Sheet3!$A$16,Sheet3!$F$16,IF(D78=Sheet3!$A$17,I81))))))))))))</f>
        <v>0</v>
      </c>
      <c r="F78" s="18"/>
    </row>
    <row r="79" spans="1:6" x14ac:dyDescent="0.25">
      <c r="A79" s="4"/>
      <c r="B79" s="3"/>
      <c r="C79" s="35"/>
      <c r="D79" s="3"/>
      <c r="E79" s="17">
        <f>IF(D79=Sheet3!$A$6,Sheet3!$F$6,IF(D79=Sheet3!$A$7,Sheet3!$F$7,IF(D79=Sheet3!$A$8,Sheet3!$F$8,IF(D79=Sheet3!$A$9,Sheet3!$F$9,IF(D79=Sheet3!$A$10,Sheet3!$F$10,IF(D79=Sheet3!$A$11,Sheet3!$F$11,IF(D79=Sheet3!$A$12,Sheet3!$F$12,IF(D79=Sheet3!$A$13,Sheet3!$F$13,IF(D79=Sheet3!$A$14,Sheet3!$F$14,IF(D79=Sheet3!$A$15,Sheet3!$F$15,IF(D79=Sheet3!$A$16,Sheet3!$F$16,IF(D79=Sheet3!$A$17,I82))))))))))))</f>
        <v>0</v>
      </c>
      <c r="F79" s="18"/>
    </row>
    <row r="80" spans="1:6" x14ac:dyDescent="0.25">
      <c r="A80" s="4"/>
      <c r="B80" s="3"/>
      <c r="C80" s="35"/>
      <c r="D80" s="3"/>
      <c r="E80" s="17">
        <f>IF(D80=Sheet3!$A$6,Sheet3!$F$6,IF(D80=Sheet3!$A$7,Sheet3!$F$7,IF(D80=Sheet3!$A$8,Sheet3!$F$8,IF(D80=Sheet3!$A$9,Sheet3!$F$9,IF(D80=Sheet3!$A$10,Sheet3!$F$10,IF(D80=Sheet3!$A$11,Sheet3!$F$11,IF(D80=Sheet3!$A$12,Sheet3!$F$12,IF(D80=Sheet3!$A$13,Sheet3!$F$13,IF(D80=Sheet3!$A$14,Sheet3!$F$14,IF(D80=Sheet3!$A$15,Sheet3!$F$15,IF(D80=Sheet3!$A$16,Sheet3!$F$16,IF(D80=Sheet3!$A$17,I83))))))))))))</f>
        <v>0</v>
      </c>
      <c r="F80" s="18"/>
    </row>
    <row r="81" spans="1:8" x14ac:dyDescent="0.25">
      <c r="A81" s="4"/>
      <c r="B81" s="3"/>
      <c r="C81" s="35"/>
      <c r="D81" s="3"/>
      <c r="E81" s="17">
        <f>IF(D81=Sheet3!$A$6,Sheet3!$F$6,IF(D81=Sheet3!$A$7,Sheet3!$F$7,IF(D81=Sheet3!$A$8,Sheet3!$F$8,IF(D81=Sheet3!$A$9,Sheet3!$F$9,IF(D81=Sheet3!$A$10,Sheet3!$F$10,IF(D81=Sheet3!$A$11,Sheet3!$F$11,IF(D81=Sheet3!$A$12,Sheet3!$F$12,IF(D81=Sheet3!$A$13,Sheet3!$F$13,IF(D81=Sheet3!$A$14,Sheet3!$F$14,IF(D81=Sheet3!$A$15,Sheet3!$F$15,IF(D81=Sheet3!$A$16,Sheet3!$F$16,IF(D81=Sheet3!$A$17,I84))))))))))))</f>
        <v>0</v>
      </c>
      <c r="F81" s="18"/>
    </row>
    <row r="82" spans="1:8" ht="15.75" thickBot="1" x14ac:dyDescent="0.3">
      <c r="A82" s="10"/>
      <c r="B82" s="10"/>
      <c r="C82" s="36"/>
      <c r="D82" s="9"/>
      <c r="E82" s="17"/>
      <c r="F82" s="18"/>
    </row>
    <row r="83" spans="1:8" ht="15.75" thickBot="1" x14ac:dyDescent="0.3">
      <c r="A83" s="41" t="s">
        <v>12</v>
      </c>
      <c r="B83" s="44" t="e">
        <f>((C76*E76)+(C77*E77)+(C78*E78)+(C79*E79)+(C80*E80)+(C81*E81))/F83</f>
        <v>#DIV/0!</v>
      </c>
      <c r="C83" s="42" t="s">
        <v>13</v>
      </c>
      <c r="D83" s="30" t="e">
        <f>(Sheet3!H6+Sheet3!H7+Sheet3!H8+Sheet3!H9+Sheet3!H10+Sheet3!H11+Sheet3!H12+Sheet3!H13+Sheet3!H14)/(Sheet2!F11+Sheet2!F20+Sheet2!F29+Sheet2!F38+Sheet2!F47+Sheet2!F56+Sheet2!F65+Sheet2!F74+Sheet2!F83)</f>
        <v>#DIV/0!</v>
      </c>
      <c r="E83" s="38" t="s">
        <v>14</v>
      </c>
      <c r="F83" s="20">
        <f>SUM(C76:C81)</f>
        <v>0</v>
      </c>
      <c r="H83" t="s">
        <v>13</v>
      </c>
    </row>
    <row r="84" spans="1:8" x14ac:dyDescent="0.25">
      <c r="A84" s="6" t="s">
        <v>28</v>
      </c>
      <c r="B84" s="43" t="s">
        <v>40</v>
      </c>
      <c r="C84" s="31"/>
      <c r="D84" s="3"/>
      <c r="E84" s="17"/>
      <c r="F84" s="18"/>
    </row>
    <row r="85" spans="1:8" x14ac:dyDescent="0.25">
      <c r="A85" s="4"/>
      <c r="B85" s="14"/>
      <c r="C85" s="35"/>
      <c r="D85" s="3"/>
      <c r="E85" s="17">
        <f>IF(D85=Sheet3!$A$6,Sheet3!$F$6,IF(D85=Sheet3!$A$7,Sheet3!$F$7,IF(D85=Sheet3!$A$8,Sheet3!$F$8,IF(D85=Sheet3!$A$9,Sheet3!$F$9,IF(D85=Sheet3!$A$10,Sheet3!$F$10,IF(D85=Sheet3!$A$11,Sheet3!$F$11,IF(D85=Sheet3!$A$12,Sheet3!$F$12,IF(D85=Sheet3!$A$13,Sheet3!$F$13,IF(D85=Sheet3!$A$14,Sheet3!$F$14,IF(D85=Sheet3!$A$15,Sheet3!$F$15,IF(D85=Sheet3!$A$16,Sheet3!$F$16,IF(D85=Sheet3!$A$17,I88))))))))))))</f>
        <v>0</v>
      </c>
      <c r="F85" s="18"/>
    </row>
    <row r="86" spans="1:8" x14ac:dyDescent="0.25">
      <c r="A86" s="4"/>
      <c r="B86" s="14"/>
      <c r="C86" s="35"/>
      <c r="D86" s="3"/>
      <c r="E86" s="17">
        <f>IF(D86=Sheet3!$A$6,Sheet3!$F$6,IF(D86=Sheet3!$A$7,Sheet3!$F$7,IF(D86=Sheet3!$A$8,Sheet3!$F$8,IF(D86=Sheet3!$A$9,Sheet3!$F$9,IF(D86=Sheet3!$A$10,Sheet3!$F$10,IF(D86=Sheet3!$A$11,Sheet3!$F$11,IF(D86=Sheet3!$A$12,Sheet3!$F$12,IF(D86=Sheet3!$A$13,Sheet3!$F$13,IF(D86=Sheet3!$A$14,Sheet3!$F$14,IF(D86=Sheet3!$A$15,Sheet3!$F$15,IF(D86=Sheet3!$A$16,Sheet3!$F$16,IF(D86=Sheet3!$A$17,I89))))))))))))</f>
        <v>0</v>
      </c>
      <c r="F86" s="18"/>
    </row>
    <row r="87" spans="1:8" x14ac:dyDescent="0.25">
      <c r="A87" s="4"/>
      <c r="B87" s="14"/>
      <c r="C87" s="35"/>
      <c r="D87" s="3"/>
      <c r="E87" s="17">
        <f>IF(D87=Sheet3!$A$6,Sheet3!$F$6,IF(D87=Sheet3!$A$7,Sheet3!$F$7,IF(D87=Sheet3!$A$8,Sheet3!$F$8,IF(D87=Sheet3!$A$9,Sheet3!$F$9,IF(D87=Sheet3!$A$10,Sheet3!$F$10,IF(D87=Sheet3!$A$11,Sheet3!$F$11,IF(D87=Sheet3!$A$12,Sheet3!$F$12,IF(D87=Sheet3!$A$13,Sheet3!$F$13,IF(D87=Sheet3!$A$14,Sheet3!$F$14,IF(D87=Sheet3!$A$15,Sheet3!$F$15,IF(D87=Sheet3!$A$16,Sheet3!$F$16,IF(D87=Sheet3!$A$17,I90))))))))))))</f>
        <v>0</v>
      </c>
      <c r="F87" s="18"/>
    </row>
    <row r="88" spans="1:8" x14ac:dyDescent="0.25">
      <c r="A88" s="4"/>
      <c r="B88" s="3"/>
      <c r="C88" s="35"/>
      <c r="D88" s="3"/>
      <c r="E88" s="17">
        <f>IF(D88=Sheet3!$A$6,Sheet3!$F$6,IF(D88=Sheet3!$A$7,Sheet3!$F$7,IF(D88=Sheet3!$A$8,Sheet3!$F$8,IF(D88=Sheet3!$A$9,Sheet3!$F$9,IF(D88=Sheet3!$A$10,Sheet3!$F$10,IF(D88=Sheet3!$A$11,Sheet3!$F$11,IF(D88=Sheet3!$A$12,Sheet3!$F$12,IF(D88=Sheet3!$A$13,Sheet3!$F$13,IF(D88=Sheet3!$A$14,Sheet3!$F$14,IF(D88=Sheet3!$A$15,Sheet3!$F$15,IF(D88=Sheet3!$A$16,Sheet3!$F$16,IF(D88=Sheet3!$A$17,I91))))))))))))</f>
        <v>0</v>
      </c>
      <c r="F88" s="18"/>
    </row>
    <row r="89" spans="1:8" x14ac:dyDescent="0.25">
      <c r="A89" s="4"/>
      <c r="B89" s="3"/>
      <c r="C89" s="35"/>
      <c r="D89" s="3"/>
      <c r="E89" s="17">
        <f>IF(D89=Sheet3!$A$6,Sheet3!$F$6,IF(D89=Sheet3!$A$7,Sheet3!$F$7,IF(D89=Sheet3!$A$8,Sheet3!$F$8,IF(D89=Sheet3!$A$9,Sheet3!$F$9,IF(D89=Sheet3!$A$10,Sheet3!$F$10,IF(D89=Sheet3!$A$11,Sheet3!$F$11,IF(D89=Sheet3!$A$12,Sheet3!$F$12,IF(D89=Sheet3!$A$13,Sheet3!$F$13,IF(D89=Sheet3!$A$14,Sheet3!$F$14,IF(D89=Sheet3!$A$15,Sheet3!$F$15,IF(D89=Sheet3!$A$16,Sheet3!$F$16,IF(D89=Sheet3!$A$17,I92))))))))))))</f>
        <v>0</v>
      </c>
      <c r="F89" s="18"/>
    </row>
    <row r="90" spans="1:8" x14ac:dyDescent="0.25">
      <c r="A90" s="4"/>
      <c r="B90" s="3"/>
      <c r="C90" s="35"/>
      <c r="D90" s="3"/>
      <c r="E90" s="17">
        <f>IF(D90=Sheet3!$A$6,Sheet3!$F$6,IF(D90=Sheet3!$A$7,Sheet3!$F$7,IF(D90=Sheet3!$A$8,Sheet3!$F$8,IF(D90=Sheet3!$A$9,Sheet3!$F$9,IF(D90=Sheet3!$A$10,Sheet3!$F$10,IF(D90=Sheet3!$A$11,Sheet3!$F$11,IF(D90=Sheet3!$A$12,Sheet3!$F$12,IF(D90=Sheet3!$A$13,Sheet3!$F$13,IF(D90=Sheet3!$A$14,Sheet3!$F$14,IF(D90=Sheet3!$A$15,Sheet3!$F$15,IF(D90=Sheet3!$A$16,Sheet3!$F$16,IF(D90=Sheet3!$A$17,I93))))))))))))</f>
        <v>0</v>
      </c>
      <c r="F90" s="18"/>
    </row>
    <row r="91" spans="1:8" ht="15.75" thickBot="1" x14ac:dyDescent="0.3">
      <c r="A91" s="10"/>
      <c r="B91" s="10"/>
      <c r="C91" s="36"/>
      <c r="D91" s="9"/>
      <c r="E91" s="17"/>
      <c r="F91" s="18"/>
    </row>
    <row r="92" spans="1:8" ht="15.75" thickBot="1" x14ac:dyDescent="0.3">
      <c r="A92" s="41" t="s">
        <v>12</v>
      </c>
      <c r="B92" s="44" t="e">
        <f>((C85*E85)+(C86*E86)+(C87*E87)+(C88*E88)+(C89*E89)+(C90*E90))/F92</f>
        <v>#DIV/0!</v>
      </c>
      <c r="C92" s="42" t="s">
        <v>13</v>
      </c>
      <c r="D92" s="30" t="e">
        <f>(Sheet3!H6+Sheet3!H7+Sheet3!H8+Sheet3!H9+Sheet3!H10+Sheet3!H11+Sheet3!H12+Sheet3!H13+Sheet3!H14+Sheet3!H15)/(Sheet2!F11+Sheet2!F20+Sheet2!F29+Sheet2!F38+Sheet2!F47+Sheet2!F56+Sheet2!F65+Sheet2!F74+Sheet2!F83+Sheet2!F92)</f>
        <v>#DIV/0!</v>
      </c>
      <c r="E92" s="38" t="s">
        <v>14</v>
      </c>
      <c r="F92" s="20">
        <f>SUM(C85:C90)</f>
        <v>0</v>
      </c>
      <c r="H92" t="s">
        <v>13</v>
      </c>
    </row>
    <row r="93" spans="1:8" x14ac:dyDescent="0.25">
      <c r="A93" s="6" t="s">
        <v>29</v>
      </c>
      <c r="B93" s="43" t="s">
        <v>45</v>
      </c>
      <c r="C93" s="31"/>
      <c r="D93" s="3"/>
      <c r="E93" s="17"/>
      <c r="F93" s="18"/>
    </row>
    <row r="94" spans="1:8" x14ac:dyDescent="0.25">
      <c r="A94" s="4"/>
      <c r="B94" s="14"/>
      <c r="C94" s="35"/>
      <c r="D94" s="3"/>
      <c r="E94" s="17">
        <f>IF(D94=Sheet3!$A$6,Sheet3!$F$6,IF(D94=Sheet3!$A$7,Sheet3!$F$7,IF(D94=Sheet3!$A$8,Sheet3!$F$8,IF(D94=Sheet3!$A$9,Sheet3!$F$9,IF(D94=Sheet3!$A$10,Sheet3!$F$10,IF(D94=Sheet3!$A$11,Sheet3!$F$11,IF(D94=Sheet3!$A$12,Sheet3!$F$12,IF(D94=Sheet3!$A$13,Sheet3!$F$13,IF(D94=Sheet3!$A$14,Sheet3!$F$14,IF(D94=Sheet3!$A$15,Sheet3!$F$15,IF(D94=Sheet3!$A$16,Sheet3!$F$16,IF(D94=Sheet3!$A$17,I97))))))))))))</f>
        <v>0</v>
      </c>
      <c r="F94" s="18"/>
    </row>
    <row r="95" spans="1:8" x14ac:dyDescent="0.25">
      <c r="A95" s="4"/>
      <c r="B95" s="14"/>
      <c r="C95" s="35"/>
      <c r="D95" s="3"/>
      <c r="E95" s="17">
        <f>IF(D95=Sheet3!$A$6,Sheet3!$F$6,IF(D95=Sheet3!$A$7,Sheet3!$F$7,IF(D95=Sheet3!$A$8,Sheet3!$F$8,IF(D95=Sheet3!$A$9,Sheet3!$F$9,IF(D95=Sheet3!$A$10,Sheet3!$F$10,IF(D95=Sheet3!$A$11,Sheet3!$F$11,IF(D95=Sheet3!$A$12,Sheet3!$F$12,IF(D95=Sheet3!$A$13,Sheet3!$F$13,IF(D95=Sheet3!$A$14,Sheet3!$F$14,IF(D95=Sheet3!$A$15,Sheet3!$F$15,IF(D95=Sheet3!$A$16,Sheet3!$F$16,IF(D95=Sheet3!$A$17,I98))))))))))))</f>
        <v>0</v>
      </c>
      <c r="F95" s="18"/>
    </row>
    <row r="96" spans="1:8" x14ac:dyDescent="0.25">
      <c r="A96" s="4"/>
      <c r="B96" s="14"/>
      <c r="C96" s="35"/>
      <c r="D96" s="3"/>
      <c r="E96" s="17">
        <f>IF(D96=Sheet3!$A$6,Sheet3!$F$6,IF(D96=Sheet3!$A$7,Sheet3!$F$7,IF(D96=Sheet3!$A$8,Sheet3!$F$8,IF(D96=Sheet3!$A$9,Sheet3!$F$9,IF(D96=Sheet3!$A$10,Sheet3!$F$10,IF(D96=Sheet3!$A$11,Sheet3!$F$11,IF(D96=Sheet3!$A$12,Sheet3!$F$12,IF(D96=Sheet3!$A$13,Sheet3!$F$13,IF(D96=Sheet3!$A$14,Sheet3!$F$14,IF(D96=Sheet3!$A$15,Sheet3!$F$15,IF(D96=Sheet3!$A$16,Sheet3!$F$16,IF(D96=Sheet3!$A$17,I99))))))))))))</f>
        <v>0</v>
      </c>
      <c r="F96" s="18"/>
    </row>
    <row r="97" spans="1:6" x14ac:dyDescent="0.25">
      <c r="A97" s="4"/>
      <c r="B97" s="14"/>
      <c r="C97" s="35"/>
      <c r="D97" s="3"/>
      <c r="E97" s="17">
        <f>IF(D97=Sheet3!$A$6,Sheet3!$F$6,IF(D97=Sheet3!$A$7,Sheet3!$F$7,IF(D97=Sheet3!$A$8,Sheet3!$F$8,IF(D97=Sheet3!$A$9,Sheet3!$F$9,IF(D97=Sheet3!$A$10,Sheet3!$F$10,IF(D97=Sheet3!$A$11,Sheet3!$F$11,IF(D97=Sheet3!$A$12,Sheet3!$F$12,IF(D97=Sheet3!$A$13,Sheet3!$F$13,IF(D97=Sheet3!$A$14,Sheet3!$F$14,IF(D97=Sheet3!$A$15,Sheet3!$F$15,IF(D97=Sheet3!$A$16,Sheet3!$F$16,IF(D97=Sheet3!$A$17,I100))))))))))))</f>
        <v>0</v>
      </c>
      <c r="F97" s="18"/>
    </row>
    <row r="98" spans="1:6" x14ac:dyDescent="0.25">
      <c r="A98" s="4"/>
      <c r="B98" s="3"/>
      <c r="C98" s="35"/>
      <c r="D98" s="3"/>
      <c r="E98" s="17">
        <f>IF(D98=Sheet3!$A$6,Sheet3!$F$6,IF(D98=Sheet3!$A$7,Sheet3!$F$7,IF(D98=Sheet3!$A$8,Sheet3!$F$8,IF(D98=Sheet3!$A$9,Sheet3!$F$9,IF(D98=Sheet3!$A$10,Sheet3!$F$10,IF(D98=Sheet3!$A$11,Sheet3!$F$11,IF(D98=Sheet3!$A$12,Sheet3!$F$12,IF(D98=Sheet3!$A$13,Sheet3!$F$13,IF(D98=Sheet3!$A$14,Sheet3!$F$14,IF(D98=Sheet3!$A$15,Sheet3!$F$15,IF(D98=Sheet3!$A$16,Sheet3!$F$16,IF(D98=Sheet3!$A$17,I101))))))))))))</f>
        <v>0</v>
      </c>
      <c r="F98" s="18"/>
    </row>
    <row r="99" spans="1:6" x14ac:dyDescent="0.25">
      <c r="A99" s="4"/>
      <c r="B99" s="3"/>
      <c r="C99" s="35"/>
      <c r="D99" s="3"/>
      <c r="E99" s="17">
        <f>IF(D99=Sheet3!$A$6,Sheet3!$F$6,IF(D99=Sheet3!$A$7,Sheet3!$F$7,IF(D99=Sheet3!$A$8,Sheet3!$F$8,IF(D99=Sheet3!$A$9,Sheet3!$F$9,IF(D99=Sheet3!$A$10,Sheet3!$F$10,IF(D99=Sheet3!$A$11,Sheet3!$F$11,IF(D99=Sheet3!$A$12,Sheet3!$F$12,IF(D99=Sheet3!$A$13,Sheet3!$F$13,IF(D99=Sheet3!$A$14,Sheet3!$F$14,IF(D99=Sheet3!$A$15,Sheet3!$F$15,IF(D99=Sheet3!$A$16,Sheet3!$F$16,IF(D99=Sheet3!$A$17,I102))))))))))))</f>
        <v>0</v>
      </c>
      <c r="F99" s="18"/>
    </row>
    <row r="100" spans="1:6" ht="15.75" thickBot="1" x14ac:dyDescent="0.3">
      <c r="A100" s="10"/>
      <c r="B100" s="10"/>
      <c r="C100" s="36"/>
      <c r="D100" s="9"/>
      <c r="E100" s="17"/>
      <c r="F100" s="18"/>
    </row>
    <row r="101" spans="1:6" ht="15.75" thickBot="1" x14ac:dyDescent="0.3">
      <c r="A101" s="41" t="s">
        <v>12</v>
      </c>
      <c r="B101" s="44" t="e">
        <f>((C94*E94)+(C95*E95)+(C96*E96)+(C97*E97)+(C98*E98)+(C99*E99))/F101</f>
        <v>#DIV/0!</v>
      </c>
      <c r="C101" s="42" t="s">
        <v>13</v>
      </c>
      <c r="D101" s="30" t="e">
        <f>(Sheet3!H6+Sheet3!H7+Sheet3!H8+Sheet3!H9+Sheet3!H10+Sheet3!H11+Sheet3!H12+Sheet3!H13+Sheet3!H14+Sheet3!H15+Sheet3!H16)/(Sheet2!F11+Sheet2!F20+Sheet2!F29+Sheet2!F38+Sheet2!F47+Sheet2!F56+Sheet2!F65+Sheet2!F74+Sheet2!F83+Sheet2!F92+Sheet2!F101)</f>
        <v>#DIV/0!</v>
      </c>
      <c r="E101" s="38" t="s">
        <v>14</v>
      </c>
      <c r="F101" s="20">
        <f>SUM(C94:C99)</f>
        <v>0</v>
      </c>
    </row>
    <row r="102" spans="1:6" x14ac:dyDescent="0.25">
      <c r="A102" s="6" t="s">
        <v>30</v>
      </c>
      <c r="B102" s="43" t="s">
        <v>44</v>
      </c>
      <c r="C102" s="31"/>
      <c r="D102" s="3"/>
      <c r="E102" s="17"/>
      <c r="F102" s="18"/>
    </row>
    <row r="103" spans="1:6" x14ac:dyDescent="0.25">
      <c r="A103" s="4"/>
      <c r="B103" s="14"/>
      <c r="C103" s="35"/>
      <c r="D103" s="3"/>
      <c r="E103" s="17">
        <f>IF(D103=Sheet3!$A$6,Sheet3!$F$6,IF(D103=Sheet3!$A$7,Sheet3!$F$7,IF(D103=Sheet3!$A$8,Sheet3!$F$8,IF(D103=Sheet3!$A$9,Sheet3!$F$9,IF(D103=Sheet3!$A$10,Sheet3!$F$10,IF(D103=Sheet3!$A$11,Sheet3!$F$11,IF(D103=Sheet3!$A$12,Sheet3!$F$12,IF(D103=Sheet3!$A$13,Sheet3!$F$13,IF(D103=Sheet3!$A$14,Sheet3!$F$14,IF(D103=Sheet3!$A$15,Sheet3!$F$15,IF(D103=Sheet3!$A$16,Sheet3!$F$16,IF(D103=Sheet3!$A$17,I106))))))))))))</f>
        <v>0</v>
      </c>
      <c r="F103" s="18"/>
    </row>
    <row r="104" spans="1:6" x14ac:dyDescent="0.25">
      <c r="A104" s="4"/>
      <c r="B104" s="14"/>
      <c r="C104" s="35"/>
      <c r="D104" s="3"/>
      <c r="E104" s="17">
        <f>IF(D104=Sheet3!$A$6,Sheet3!$F$6,IF(D104=Sheet3!$A$7,Sheet3!$F$7,IF(D104=Sheet3!$A$8,Sheet3!$F$8,IF(D104=Sheet3!$A$9,Sheet3!$F$9,IF(D104=Sheet3!$A$10,Sheet3!$F$10,IF(D104=Sheet3!$A$11,Sheet3!$F$11,IF(D104=Sheet3!$A$12,Sheet3!$F$12,IF(D104=Sheet3!$A$13,Sheet3!$F$13,IF(D104=Sheet3!$A$14,Sheet3!$F$14,IF(D104=Sheet3!$A$15,Sheet3!$F$15,IF(D104=Sheet3!$A$16,Sheet3!$F$16,IF(D104=Sheet3!$A$17,I107))))))))))))</f>
        <v>0</v>
      </c>
      <c r="F104" s="18"/>
    </row>
    <row r="105" spans="1:6" x14ac:dyDescent="0.25">
      <c r="A105" s="4"/>
      <c r="B105" s="14"/>
      <c r="C105" s="35"/>
      <c r="D105" s="3"/>
      <c r="E105" s="17">
        <f>IF(D105=Sheet3!$A$6,Sheet3!$F$6,IF(D105=Sheet3!$A$7,Sheet3!$F$7,IF(D105=Sheet3!$A$8,Sheet3!$F$8,IF(D105=Sheet3!$A$9,Sheet3!$F$9,IF(D105=Sheet3!$A$10,Sheet3!$F$10,IF(D105=Sheet3!$A$11,Sheet3!$F$11,IF(D105=Sheet3!$A$12,Sheet3!$F$12,IF(D105=Sheet3!$A$13,Sheet3!$F$13,IF(D105=Sheet3!$A$14,Sheet3!$F$14,IF(D105=Sheet3!$A$15,Sheet3!$F$15,IF(D105=Sheet3!$A$16,Sheet3!$F$16,IF(D105=Sheet3!$A$17,I108))))))))))))</f>
        <v>0</v>
      </c>
      <c r="F105" s="18"/>
    </row>
    <row r="106" spans="1:6" x14ac:dyDescent="0.25">
      <c r="A106" s="4"/>
      <c r="B106" s="3"/>
      <c r="C106" s="35"/>
      <c r="D106" s="3"/>
      <c r="E106" s="17">
        <f>IF(D106=Sheet3!$A$6,Sheet3!$F$6,IF(D106=Sheet3!$A$7,Sheet3!$F$7,IF(D106=Sheet3!$A$8,Sheet3!$F$8,IF(D106=Sheet3!$A$9,Sheet3!$F$9,IF(D106=Sheet3!$A$10,Sheet3!$F$10,IF(D106=Sheet3!$A$11,Sheet3!$F$11,IF(D106=Sheet3!$A$12,Sheet3!$F$12,IF(D106=Sheet3!$A$13,Sheet3!$F$13,IF(D106=Sheet3!$A$14,Sheet3!$F$14,IF(D106=Sheet3!$A$15,Sheet3!$F$15,IF(D106=Sheet3!$A$16,Sheet3!$F$16,IF(D106=Sheet3!$A$17,I109))))))))))))</f>
        <v>0</v>
      </c>
      <c r="F106" s="18"/>
    </row>
    <row r="107" spans="1:6" x14ac:dyDescent="0.25">
      <c r="A107" s="4"/>
      <c r="B107" s="14"/>
      <c r="C107" s="35"/>
      <c r="D107" s="3"/>
      <c r="E107" s="17">
        <f>IF(D107=Sheet3!$A$6,Sheet3!$F$6,IF(D107=Sheet3!$A$7,Sheet3!$F$7,IF(D107=Sheet3!$A$8,Sheet3!$F$8,IF(D107=Sheet3!$A$9,Sheet3!$F$9,IF(D107=Sheet3!$A$10,Sheet3!$F$10,IF(D107=Sheet3!$A$11,Sheet3!$F$11,IF(D107=Sheet3!$A$12,Sheet3!$F$12,IF(D107=Sheet3!$A$13,Sheet3!$F$13,IF(D107=Sheet3!$A$14,Sheet3!$F$14,IF(D107=Sheet3!$A$15,Sheet3!$F$15,IF(D107=Sheet3!$A$16,Sheet3!$F$16,IF(D107=Sheet3!$A$17,I110))))))))))))</f>
        <v>0</v>
      </c>
      <c r="F107" s="18"/>
    </row>
    <row r="108" spans="1:6" x14ac:dyDescent="0.25">
      <c r="A108" s="4"/>
      <c r="B108" s="3"/>
      <c r="C108" s="35"/>
      <c r="D108" s="3"/>
      <c r="E108" s="17">
        <f>IF(D108=Sheet3!$A$6,Sheet3!$F$6,IF(D108=Sheet3!$A$7,Sheet3!$F$7,IF(D108=Sheet3!$A$8,Sheet3!$F$8,IF(D108=Sheet3!$A$9,Sheet3!$F$9,IF(D108=Sheet3!$A$10,Sheet3!$F$10,IF(D108=Sheet3!$A$11,Sheet3!$F$11,IF(D108=Sheet3!$A$12,Sheet3!$F$12,IF(D108=Sheet3!$A$13,Sheet3!$F$13,IF(D108=Sheet3!$A$14,Sheet3!$F$14,IF(D108=Sheet3!$A$15,Sheet3!$F$15,IF(D108=Sheet3!$A$16,Sheet3!$F$16,IF(D108=Sheet3!$A$17,I111))))))))))))</f>
        <v>0</v>
      </c>
      <c r="F108" s="18"/>
    </row>
    <row r="109" spans="1:6" ht="15.75" thickBot="1" x14ac:dyDescent="0.3">
      <c r="A109" s="10"/>
      <c r="B109" s="10"/>
      <c r="C109" s="36"/>
      <c r="D109" s="9"/>
      <c r="E109" s="17"/>
      <c r="F109" s="18"/>
    </row>
    <row r="110" spans="1:6" ht="15.75" thickBot="1" x14ac:dyDescent="0.3">
      <c r="A110" s="41" t="s">
        <v>12</v>
      </c>
      <c r="B110" s="44" t="e">
        <f>((C103*E103)+(C104*E104)+(C105*E105)+(C106*E106)+(C107*E107)+(C108*E108))/F110</f>
        <v>#DIV/0!</v>
      </c>
      <c r="C110" s="42" t="s">
        <v>13</v>
      </c>
      <c r="D110" s="30" t="e">
        <f>SUM(Sheet3!H6:H17)/(Sheet2!F11+Sheet2!F20+Sheet2!F29+Sheet2!F38+Sheet2!F47+Sheet2!F56+Sheet2!F65+Sheet2!F74+Sheet2!F83+Sheet2!F92+Sheet2!F101+Sheet2!F110)</f>
        <v>#DIV/0!</v>
      </c>
      <c r="E110" s="38" t="s">
        <v>14</v>
      </c>
      <c r="F110" s="20">
        <f>SUM(C103:C108)</f>
        <v>0</v>
      </c>
    </row>
    <row r="111" spans="1:6" x14ac:dyDescent="0.25">
      <c r="A111" s="6" t="s">
        <v>51</v>
      </c>
      <c r="B111" s="43" t="s">
        <v>43</v>
      </c>
      <c r="C111" s="31"/>
      <c r="D111" s="3"/>
      <c r="E111" s="17"/>
      <c r="F111" s="18"/>
    </row>
    <row r="112" spans="1:6" x14ac:dyDescent="0.25">
      <c r="A112" s="4"/>
      <c r="B112" s="14"/>
      <c r="C112" s="35"/>
      <c r="D112" s="3"/>
      <c r="E112" s="17">
        <f>IF(D112=Sheet3!$A$6,Sheet3!$F$6,IF(D112=Sheet3!$A$7,Sheet3!$F$7,IF(D112=Sheet3!$A$8,Sheet3!$F$8,IF(D112=Sheet3!$A$9,Sheet3!$F$9,IF(D112=Sheet3!$A$10,Sheet3!$F$10,IF(D112=Sheet3!$A$11,Sheet3!$F$11,IF(D112=Sheet3!$A$12,Sheet3!$F$12,IF(D112=Sheet3!$A$13,Sheet3!$F$13,IF(D112=Sheet3!$A$14,Sheet3!$F$14,IF(D112=Sheet3!$A$15,Sheet3!$F$15,IF(D112=Sheet3!$A$16,Sheet3!$F$16,IF(D112=Sheet3!$A$17,I115))))))))))))</f>
        <v>0</v>
      </c>
      <c r="F112" s="18"/>
    </row>
    <row r="113" spans="1:6" x14ac:dyDescent="0.25">
      <c r="A113" s="4"/>
      <c r="B113" s="14"/>
      <c r="C113" s="35"/>
      <c r="D113" s="3"/>
      <c r="E113" s="17">
        <f>IF(D113=Sheet3!$A$6,Sheet3!$F$6,IF(D113=Sheet3!$A$7,Sheet3!$F$7,IF(D113=Sheet3!$A$8,Sheet3!$F$8,IF(D113=Sheet3!$A$9,Sheet3!$F$9,IF(D113=Sheet3!$A$10,Sheet3!$F$10,IF(D113=Sheet3!$A$11,Sheet3!$F$11,IF(D113=Sheet3!$A$12,Sheet3!$F$12,IF(D113=Sheet3!$A$13,Sheet3!$F$13,IF(D113=Sheet3!$A$14,Sheet3!$F$14,IF(D113=Sheet3!$A$15,Sheet3!$F$15,IF(D113=Sheet3!$A$16,Sheet3!$F$16,IF(D113=Sheet3!$A$17,I116))))))))))))</f>
        <v>0</v>
      </c>
      <c r="F113" s="18"/>
    </row>
    <row r="114" spans="1:6" x14ac:dyDescent="0.25">
      <c r="A114" s="4"/>
      <c r="B114" s="14"/>
      <c r="C114" s="35"/>
      <c r="D114" s="3"/>
      <c r="E114" s="17">
        <f>IF(D114=Sheet3!$A$6,Sheet3!$F$6,IF(D114=Sheet3!$A$7,Sheet3!$F$7,IF(D114=Sheet3!$A$8,Sheet3!$F$8,IF(D114=Sheet3!$A$9,Sheet3!$F$9,IF(D114=Sheet3!$A$10,Sheet3!$F$10,IF(D114=Sheet3!$A$11,Sheet3!$F$11,IF(D114=Sheet3!$A$12,Sheet3!$F$12,IF(D114=Sheet3!$A$13,Sheet3!$F$13,IF(D114=Sheet3!$A$14,Sheet3!$F$14,IF(D114=Sheet3!$A$15,Sheet3!$F$15,IF(D114=Sheet3!$A$16,Sheet3!$F$16,IF(D114=Sheet3!$A$17,I117))))))))))))</f>
        <v>0</v>
      </c>
      <c r="F114" s="18"/>
    </row>
    <row r="115" spans="1:6" x14ac:dyDescent="0.25">
      <c r="A115" s="4"/>
      <c r="B115" s="3"/>
      <c r="C115" s="35"/>
      <c r="D115" s="3"/>
      <c r="E115" s="17">
        <f>IF(D115=Sheet3!$A$6,Sheet3!$F$6,IF(D115=Sheet3!$A$7,Sheet3!$F$7,IF(D115=Sheet3!$A$8,Sheet3!$F$8,IF(D115=Sheet3!$A$9,Sheet3!$F$9,IF(D115=Sheet3!$A$10,Sheet3!$F$10,IF(D115=Sheet3!$A$11,Sheet3!$F$11,IF(D115=Sheet3!$A$12,Sheet3!$F$12,IF(D115=Sheet3!$A$13,Sheet3!$F$13,IF(D115=Sheet3!$A$14,Sheet3!$F$14,IF(D115=Sheet3!$A$15,Sheet3!$F$15,IF(D115=Sheet3!$A$16,Sheet3!$F$16,IF(D115=Sheet3!$A$17,I118))))))))))))</f>
        <v>0</v>
      </c>
      <c r="F115" s="18"/>
    </row>
    <row r="116" spans="1:6" x14ac:dyDescent="0.25">
      <c r="A116" s="4"/>
      <c r="B116" s="3"/>
      <c r="C116" s="35"/>
      <c r="D116" s="3"/>
      <c r="E116" s="17">
        <f>IF(D116=Sheet3!$A$6,Sheet3!$F$6,IF(D116=Sheet3!$A$7,Sheet3!$F$7,IF(D116=Sheet3!$A$8,Sheet3!$F$8,IF(D116=Sheet3!$A$9,Sheet3!$F$9,IF(D116=Sheet3!$A$10,Sheet3!$F$10,IF(D116=Sheet3!$A$11,Sheet3!$F$11,IF(D116=Sheet3!$A$12,Sheet3!$F$12,IF(D116=Sheet3!$A$13,Sheet3!$F$13,IF(D116=Sheet3!$A$14,Sheet3!$F$14,IF(D116=Sheet3!$A$15,Sheet3!$F$15,IF(D116=Sheet3!$A$16,Sheet3!$F$16,IF(D116=Sheet3!$A$17,I119))))))))))))</f>
        <v>0</v>
      </c>
      <c r="F116" s="18"/>
    </row>
    <row r="117" spans="1:6" x14ac:dyDescent="0.25">
      <c r="A117" s="4"/>
      <c r="B117" s="3"/>
      <c r="C117" s="35"/>
      <c r="D117" s="3"/>
      <c r="E117" s="17">
        <f>IF(D117=Sheet3!$A$6,Sheet3!$F$6,IF(D117=Sheet3!$A$7,Sheet3!$F$7,IF(D117=Sheet3!$A$8,Sheet3!$F$8,IF(D117=Sheet3!$A$9,Sheet3!$F$9,IF(D117=Sheet3!$A$10,Sheet3!$F$10,IF(D117=Sheet3!$A$11,Sheet3!$F$11,IF(D117=Sheet3!$A$12,Sheet3!$F$12,IF(D117=Sheet3!$A$13,Sheet3!$F$13,IF(D117=Sheet3!$A$14,Sheet3!$F$14,IF(D117=Sheet3!$A$15,Sheet3!$F$15,IF(D117=Sheet3!$A$16,Sheet3!$F$16,IF(D117=Sheet3!$A$17,I120))))))))))))</f>
        <v>0</v>
      </c>
      <c r="F117" s="18"/>
    </row>
    <row r="118" spans="1:6" ht="15.75" thickBot="1" x14ac:dyDescent="0.3">
      <c r="A118" s="10"/>
      <c r="B118" s="10"/>
      <c r="C118" s="36"/>
      <c r="D118" s="9"/>
      <c r="E118" s="17"/>
      <c r="F118" s="18"/>
    </row>
    <row r="119" spans="1:6" ht="15.75" thickBot="1" x14ac:dyDescent="0.3">
      <c r="A119" s="41" t="s">
        <v>12</v>
      </c>
      <c r="B119" s="44" t="e">
        <f>((C112*E112)+(C113*E113)+(C114*E114)+(C115*E115)+(C116*E116)+(C117*E117))/F119</f>
        <v>#DIV/0!</v>
      </c>
      <c r="C119" s="42" t="s">
        <v>13</v>
      </c>
      <c r="D119" s="30" t="e">
        <f>SUM(Sheet3!H6:H17,Sheet3!H19)/(Sheet2!F11+Sheet2!F20+Sheet2!F29+Sheet2!F38+Sheet2!F47+Sheet2!F56+Sheet2!F65+Sheet2!F74+Sheet2!F83+Sheet2!F92+Sheet2!F101+Sheet2!F110+Sheet2!F119)</f>
        <v>#DIV/0!</v>
      </c>
      <c r="E119" s="38" t="s">
        <v>14</v>
      </c>
      <c r="F119" s="20">
        <f>SUM(C112:C117)</f>
        <v>0</v>
      </c>
    </row>
    <row r="120" spans="1:6" x14ac:dyDescent="0.25">
      <c r="A120" s="6" t="s">
        <v>52</v>
      </c>
      <c r="B120" s="43" t="s">
        <v>46</v>
      </c>
      <c r="C120" s="31"/>
      <c r="D120" s="3"/>
      <c r="E120" s="17"/>
      <c r="F120" s="18"/>
    </row>
    <row r="121" spans="1:6" x14ac:dyDescent="0.25">
      <c r="A121" s="4"/>
      <c r="B121" s="14"/>
      <c r="C121" s="35"/>
      <c r="D121" s="3"/>
      <c r="E121" s="17">
        <f>IF(D121=Sheet3!$A$6,Sheet3!$F$6,IF(D121=Sheet3!$A$7,Sheet3!$F$7,IF(D121=Sheet3!$A$8,Sheet3!$F$8,IF(D121=Sheet3!$A$9,Sheet3!$F$9,IF(D121=Sheet3!$A$10,Sheet3!$F$10,IF(D121=Sheet3!$A$11,Sheet3!$F$11,IF(D121=Sheet3!$A$12,Sheet3!$F$12,IF(D121=Sheet3!$A$13,Sheet3!$F$13,IF(D121=Sheet3!$A$14,Sheet3!$F$14,IF(D121=Sheet3!$A$15,Sheet3!$F$15,IF(D121=Sheet3!$A$16,Sheet3!$F$16,IF(D121=Sheet3!$A$17,I124))))))))))))</f>
        <v>0</v>
      </c>
      <c r="F121" s="18"/>
    </row>
    <row r="122" spans="1:6" x14ac:dyDescent="0.25">
      <c r="A122" s="4"/>
      <c r="B122" s="14"/>
      <c r="C122" s="35"/>
      <c r="D122" s="3"/>
      <c r="E122" s="17">
        <f>IF(D122=Sheet3!$A$6,Sheet3!$F$6,IF(D122=Sheet3!$A$7,Sheet3!$F$7,IF(D122=Sheet3!$A$8,Sheet3!$F$8,IF(D122=Sheet3!$A$9,Sheet3!$F$9,IF(D122=Sheet3!$A$10,Sheet3!$F$10,IF(D122=Sheet3!$A$11,Sheet3!$F$11,IF(D122=Sheet3!$A$12,Sheet3!$F$12,IF(D122=Sheet3!$A$13,Sheet3!$F$13,IF(D122=Sheet3!$A$14,Sheet3!$F$14,IF(D122=Sheet3!$A$15,Sheet3!$F$15,IF(D122=Sheet3!$A$16,Sheet3!$F$16,IF(D122=Sheet3!$A$17,I125))))))))))))</f>
        <v>0</v>
      </c>
      <c r="F122" s="18"/>
    </row>
    <row r="123" spans="1:6" x14ac:dyDescent="0.25">
      <c r="A123" s="4"/>
      <c r="B123" s="14"/>
      <c r="C123" s="35"/>
      <c r="D123" s="3"/>
      <c r="E123" s="17">
        <f>IF(D123=Sheet3!$A$6,Sheet3!$F$6,IF(D123=Sheet3!$A$7,Sheet3!$F$7,IF(D123=Sheet3!$A$8,Sheet3!$F$8,IF(D123=Sheet3!$A$9,Sheet3!$F$9,IF(D123=Sheet3!$A$10,Sheet3!$F$10,IF(D123=Sheet3!$A$11,Sheet3!$F$11,IF(D123=Sheet3!$A$12,Sheet3!$F$12,IF(D123=Sheet3!$A$13,Sheet3!$F$13,IF(D123=Sheet3!$A$14,Sheet3!$F$14,IF(D123=Sheet3!$A$15,Sheet3!$F$15,IF(D123=Sheet3!$A$16,Sheet3!$F$16,IF(D123=Sheet3!$A$17,I126))))))))))))</f>
        <v>0</v>
      </c>
      <c r="F123" s="18"/>
    </row>
    <row r="124" spans="1:6" x14ac:dyDescent="0.25">
      <c r="A124" s="4"/>
      <c r="B124" s="3"/>
      <c r="C124" s="35"/>
      <c r="D124" s="3"/>
      <c r="E124" s="17">
        <f>IF(D124=Sheet3!$A$6,Sheet3!$F$6,IF(D124=Sheet3!$A$7,Sheet3!$F$7,IF(D124=Sheet3!$A$8,Sheet3!$F$8,IF(D124=Sheet3!$A$9,Sheet3!$F$9,IF(D124=Sheet3!$A$10,Sheet3!$F$10,IF(D124=Sheet3!$A$11,Sheet3!$F$11,IF(D124=Sheet3!$A$12,Sheet3!$F$12,IF(D124=Sheet3!$A$13,Sheet3!$F$13,IF(D124=Sheet3!$A$14,Sheet3!$F$14,IF(D124=Sheet3!$A$15,Sheet3!$F$15,IF(D124=Sheet3!$A$16,Sheet3!$F$16,IF(D124=Sheet3!$A$17,I127))))))))))))</f>
        <v>0</v>
      </c>
      <c r="F124" s="18"/>
    </row>
    <row r="125" spans="1:6" x14ac:dyDescent="0.25">
      <c r="A125" s="4"/>
      <c r="B125" s="3"/>
      <c r="C125" s="35"/>
      <c r="D125" s="3"/>
      <c r="E125" s="17">
        <f>IF(D125=Sheet3!$A$6,Sheet3!$F$6,IF(D125=Sheet3!$A$7,Sheet3!$F$7,IF(D125=Sheet3!$A$8,Sheet3!$F$8,IF(D125=Sheet3!$A$9,Sheet3!$F$9,IF(D125=Sheet3!$A$10,Sheet3!$F$10,IF(D125=Sheet3!$A$11,Sheet3!$F$11,IF(D125=Sheet3!$A$12,Sheet3!$F$12,IF(D125=Sheet3!$A$13,Sheet3!$F$13,IF(D125=Sheet3!$A$14,Sheet3!$F$14,IF(D125=Sheet3!$A$15,Sheet3!$F$15,IF(D125=Sheet3!$A$16,Sheet3!$F$16,IF(D125=Sheet3!$A$17,I128))))))))))))</f>
        <v>0</v>
      </c>
      <c r="F125" s="18"/>
    </row>
    <row r="126" spans="1:6" x14ac:dyDescent="0.25">
      <c r="A126" s="4"/>
      <c r="B126" s="3"/>
      <c r="C126" s="35"/>
      <c r="D126" s="3"/>
      <c r="E126" s="17">
        <f>IF(D126=Sheet3!$A$6,Sheet3!$F$6,IF(D126=Sheet3!$A$7,Sheet3!$F$7,IF(D126=Sheet3!$A$8,Sheet3!$F$8,IF(D126=Sheet3!$A$9,Sheet3!$F$9,IF(D126=Sheet3!$A$10,Sheet3!$F$10,IF(D126=Sheet3!$A$11,Sheet3!$F$11,IF(D126=Sheet3!$A$12,Sheet3!$F$12,IF(D126=Sheet3!$A$13,Sheet3!$F$13,IF(D126=Sheet3!$A$14,Sheet3!$F$14,IF(D126=Sheet3!$A$15,Sheet3!$F$15,IF(D126=Sheet3!$A$16,Sheet3!$F$16,IF(D126=Sheet3!$A$17,I129))))))))))))</f>
        <v>0</v>
      </c>
      <c r="F126" s="18"/>
    </row>
    <row r="127" spans="1:6" ht="15.75" thickBot="1" x14ac:dyDescent="0.3">
      <c r="A127" s="10"/>
      <c r="B127" s="10"/>
      <c r="C127" s="36"/>
      <c r="D127" s="9"/>
      <c r="E127" s="17"/>
      <c r="F127" s="18"/>
    </row>
    <row r="128" spans="1:6" ht="15.75" thickBot="1" x14ac:dyDescent="0.3">
      <c r="A128" s="41" t="s">
        <v>12</v>
      </c>
      <c r="B128" s="44" t="e">
        <f>((C121*E121)+(C122*E122)+(C123*E123)+(C124*E124)+(C125*E125)+(C126*E126))/F128</f>
        <v>#DIV/0!</v>
      </c>
      <c r="C128" s="45">
        <v>0</v>
      </c>
      <c r="D128" s="30" t="e">
        <f>SUM(Sheet3!H6:H17,Sheet3!H19,Sheet3!H20)/(Sheet2!F11+Sheet2!F20+Sheet2!F29+Sheet2!F38+Sheet2!F47+Sheet2!F56+Sheet2!F65+Sheet2!F74+Sheet2!F83+Sheet2!F92+Sheet2!F101+Sheet2!F110+Sheet2!F119+Sheet2!F128)</f>
        <v>#DIV/0!</v>
      </c>
      <c r="E128" s="30">
        <v>0</v>
      </c>
      <c r="F128" s="20">
        <f>SUM(C121:C126)</f>
        <v>0</v>
      </c>
    </row>
    <row r="129" spans="1:26" x14ac:dyDescent="0.25">
      <c r="X129">
        <f>SUM(X4:X127)-Z129</f>
        <v>0</v>
      </c>
      <c r="Z129">
        <f>SUM(Z4:Z127)</f>
        <v>0</v>
      </c>
    </row>
    <row r="132" spans="1:26" x14ac:dyDescent="0.25">
      <c r="A132" s="1" t="s">
        <v>53</v>
      </c>
      <c r="B132" s="23">
        <f>SUM($F11,$F20,$F29,$F38,$F47,$F56,$F65,$F74,$F83,$F92,$F101,$F110,$F119,$F128)-X129</f>
        <v>0</v>
      </c>
    </row>
    <row r="134" spans="1:26" x14ac:dyDescent="0.25">
      <c r="A134" s="1" t="s">
        <v>54</v>
      </c>
      <c r="B134" s="48" t="e">
        <f>(Sheet3!H6+Sheet3!H7+Sheet3!H8+Sheet3!H9+Sheet3!H10+Sheet3!H11+Sheet3!H12+Sheet3!H13+Sheet3!H14+Sheet3!H15+Sheet3!H16+Sheet3!H17+Sheet3!H19+Sheet3!H20)/Sheet2!B132</f>
        <v>#DIV/0!</v>
      </c>
    </row>
  </sheetData>
  <conditionalFormatting sqref="B12:E19 C11 C20 B30:E37 C29 C38 C47 B57:E64 C56:E56 C65:E65 C74:E74 C83:E83 C92:E92 C110:E110 C119:E119 E11 E20 E29 E38 E47 B75:E82 B66:E73 B39:E46 B21:E28 B4:E10 B93:E100 B111:E118 B120:E127 C101:E101 B48:E55 B84:E91 B102:E109">
    <cfRule type="expression" dxfId="4" priority="11">
      <formula>$D4="F"</formula>
    </cfRule>
  </conditionalFormatting>
  <conditionalFormatting sqref="C128">
    <cfRule type="expression" dxfId="3" priority="9">
      <formula>$D128="F"</formula>
    </cfRule>
  </conditionalFormatting>
  <conditionalFormatting sqref="D128:E128">
    <cfRule type="expression" dxfId="2" priority="8">
      <formula>$D128="F"</formula>
    </cfRule>
  </conditionalFormatting>
  <conditionalFormatting sqref="C3:C127 E3:E127">
    <cfRule type="expression" priority="2">
      <formula>$C4*$E$4=J3</formula>
    </cfRule>
  </conditionalFormatting>
  <dataValidations xWindow="682" yWindow="219" count="1">
    <dataValidation errorStyle="warning" allowBlank="1" showInputMessage="1" showErrorMessage="1" promptTitle="Enter value" prompt="please enter your value  here" sqref="E22:E27 E112:E117 E40:E45 E31:E36 E49:E54 E67:E72 E58:E63 E76:E81 E13:E18 E4:E9 E85:E90 E94:E99 E103:E108 E121:E126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up">
                <anchor moveWithCells="1">
                  <from>
                    <xdr:col>2</xdr:col>
                    <xdr:colOff>9525</xdr:colOff>
                    <xdr:row>133</xdr:row>
                    <xdr:rowOff>171450</xdr:rowOff>
                  </from>
                  <to>
                    <xdr:col>3</xdr:col>
                    <xdr:colOff>19050</xdr:colOff>
                    <xdr:row>135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up">
                <anchor moveWithCells="1">
                  <from>
                    <xdr:col>2</xdr:col>
                    <xdr:colOff>9525</xdr:colOff>
                    <xdr:row>133</xdr:row>
                    <xdr:rowOff>171450</xdr:rowOff>
                  </from>
                  <to>
                    <xdr:col>3</xdr:col>
                    <xdr:colOff>19050</xdr:colOff>
                    <xdr:row>135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ls">
                <anchor moveWithCells="1">
                  <from>
                    <xdr:col>4</xdr:col>
                    <xdr:colOff>28575</xdr:colOff>
                    <xdr:row>133</xdr:row>
                    <xdr:rowOff>171450</xdr:rowOff>
                  </from>
                  <to>
                    <xdr:col>4</xdr:col>
                    <xdr:colOff>1133475</xdr:colOff>
                    <xdr:row>135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82" yWindow="219" count="5">
        <x14:dataValidation type="list" allowBlank="1" showInputMessage="1" showErrorMessage="1">
          <x14:formula1>
            <xm:f>Sheet3!$C$6:$C$18</xm:f>
          </x14:formula1>
          <xm:sqref>A3</xm:sqref>
        </x14:dataValidation>
        <x14:dataValidation type="list" allowBlank="1" showInputMessage="1" showErrorMessage="1">
          <x14:formula1>
            <xm:f>Sheet3!$A$6:$A$17</xm:f>
          </x14:formula1>
          <xm:sqref>D6:D9 D4 D13:D18 D22:D27 D31:D36 D40:D45 D49:D54 D58:D63 D67:D72 D76:D81 D121:D126 D94:D99 D103:D108 D112:D117 D85:D90</xm:sqref>
        </x14:dataValidation>
        <x14:dataValidation type="list" allowBlank="1" showInputMessage="1" showErrorMessage="1">
          <x14:formula1>
            <xm:f>Sheet3!$A$1:$A$4</xm:f>
          </x14:formula1>
          <xm:sqref>C4:C9 C13:C18 C22:C27 C31:C36 C40:C45 C49:C54 C58:C63 C67:C72 C76:C81 C85:C90 C94:C99 C103:C108 C112:C117 C121:C126</xm:sqref>
        </x14:dataValidation>
        <x14:dataValidation type="list" allowBlank="1" showInputMessage="1" showErrorMessage="1">
          <x14:formula1>
            <xm:f>Sheet3!$C$6:$C$20</xm:f>
          </x14:formula1>
          <xm:sqref>A12 A21 A30 A39 A48 A57 A66 A75 A84 A93 A102 A111 A120</xm:sqref>
        </x14:dataValidation>
        <x14:dataValidation type="list" allowBlank="1" showInputMessage="1" showErrorMessage="1">
          <x14:formula1>
            <xm:f>Sheet3!$A6:$A17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0"/>
  <sheetViews>
    <sheetView topLeftCell="B1" zoomScale="115" zoomScaleNormal="115" workbookViewId="0">
      <selection activeCell="F8" sqref="F8"/>
    </sheetView>
  </sheetViews>
  <sheetFormatPr defaultRowHeight="15" x14ac:dyDescent="0.25"/>
  <cols>
    <col min="2" max="2" width="11.140625" customWidth="1"/>
    <col min="3" max="3" width="17" customWidth="1"/>
    <col min="8" max="8" width="15.140625" customWidth="1"/>
    <col min="9" max="9" width="12.85546875" customWidth="1"/>
    <col min="10" max="10" width="50.140625" customWidth="1"/>
    <col min="12" max="12" width="31" customWidth="1"/>
    <col min="13" max="13" width="41.28515625" customWidth="1"/>
  </cols>
  <sheetData>
    <row r="1" spans="1:12" x14ac:dyDescent="0.25">
      <c r="A1" s="22">
        <v>1</v>
      </c>
      <c r="J1" s="26"/>
      <c r="L1" s="34"/>
    </row>
    <row r="2" spans="1:12" x14ac:dyDescent="0.25">
      <c r="A2" s="22">
        <v>2</v>
      </c>
      <c r="J2" s="26"/>
      <c r="L2" s="22"/>
    </row>
    <row r="3" spans="1:12" x14ac:dyDescent="0.25">
      <c r="A3" s="22">
        <v>3</v>
      </c>
      <c r="H3" s="34" t="s">
        <v>55</v>
      </c>
      <c r="I3" s="34"/>
      <c r="J3" s="26"/>
      <c r="L3" s="22"/>
    </row>
    <row r="4" spans="1:12" x14ac:dyDescent="0.25">
      <c r="A4" s="22">
        <v>4</v>
      </c>
      <c r="J4" s="26"/>
      <c r="L4" s="22"/>
    </row>
    <row r="5" spans="1:12" x14ac:dyDescent="0.25">
      <c r="J5" s="26"/>
    </row>
    <row r="6" spans="1:12" x14ac:dyDescent="0.25">
      <c r="C6" s="2" t="s">
        <v>18</v>
      </c>
      <c r="F6" s="5"/>
      <c r="H6" s="40">
        <f>((Sheet2!C4*Sheet2!E4)+(Sheet2!C5*Sheet2!E5)+(Sheet2!C6*Sheet2!E6)+(Sheet2!C7*Sheet2!E7)+(Sheet2!C8*Sheet2!E8)+(Sheet2!C9*Sheet2!E9))</f>
        <v>0</v>
      </c>
      <c r="I6" s="39"/>
      <c r="J6" s="26"/>
    </row>
    <row r="7" spans="1:12" x14ac:dyDescent="0.25">
      <c r="A7" t="s">
        <v>9</v>
      </c>
      <c r="C7" s="2" t="s">
        <v>20</v>
      </c>
      <c r="F7" s="37">
        <v>4</v>
      </c>
      <c r="H7" s="40">
        <f>((Sheet2!C13*Sheet2!E13)+(Sheet2!C14*Sheet2!E14)+(Sheet2!C15*Sheet2!E15)+(Sheet2!C16*Sheet2!E16)+(Sheet2!C17*Sheet2!E17)+(Sheet2!C18*Sheet2!E18))</f>
        <v>0</v>
      </c>
      <c r="J7" s="26"/>
    </row>
    <row r="8" spans="1:12" x14ac:dyDescent="0.25">
      <c r="A8" t="s">
        <v>11</v>
      </c>
      <c r="C8" s="2" t="s">
        <v>21</v>
      </c>
      <c r="F8" s="37">
        <v>3.75</v>
      </c>
      <c r="H8" s="40">
        <f>((Sheet2!C22*Sheet2!E22)+(Sheet2!C23*Sheet2!E23)+(Sheet2!C24*Sheet2!E24)+(Sheet2!C25*Sheet2!E25)+(Sheet2!C26*Sheet2!E26)+(Sheet2!C27*Sheet2!E27))</f>
        <v>0</v>
      </c>
      <c r="J8" s="26"/>
    </row>
    <row r="9" spans="1:12" x14ac:dyDescent="0.25">
      <c r="A9" t="s">
        <v>8</v>
      </c>
      <c r="C9" s="2" t="s">
        <v>22</v>
      </c>
      <c r="F9" s="37">
        <v>3.5</v>
      </c>
      <c r="H9" s="40">
        <f>((Sheet2!C31*Sheet2!E31)+(Sheet2!C32*Sheet2!E32)+(Sheet2!C33*Sheet2!E33)+(Sheet2!C34*Sheet2!E34)+(Sheet2!C35*Sheet2!E35)+(Sheet2!C36*Sheet2!E36))</f>
        <v>0</v>
      </c>
      <c r="J9" s="26"/>
    </row>
    <row r="10" spans="1:12" x14ac:dyDescent="0.25">
      <c r="A10" t="s">
        <v>4</v>
      </c>
      <c r="C10" s="2" t="s">
        <v>23</v>
      </c>
      <c r="F10" s="37">
        <v>3</v>
      </c>
      <c r="H10" s="40">
        <f>((Sheet2!C40*Sheet2!E40)+(Sheet2!C41*Sheet2!E41)+(Sheet2!C42*Sheet2!E42)+(Sheet2!C43*Sheet2!E43)+(Sheet2!C44*Sheet2!E44)+(Sheet2!C45*Sheet2!E45))</f>
        <v>0</v>
      </c>
      <c r="J10" s="26"/>
    </row>
    <row r="11" spans="1:12" x14ac:dyDescent="0.25">
      <c r="C11" s="2" t="s">
        <v>24</v>
      </c>
      <c r="F11" s="37"/>
      <c r="H11" s="40">
        <f>((Sheet2!C49*Sheet2!E49)+(Sheet2!C50*Sheet2!E50)+(Sheet2!C51*Sheet2!E51)+(Sheet2!C52*Sheet2!E52)+(Sheet2!C53*Sheet2!E53)+(Sheet2!C54*Sheet2!E54))</f>
        <v>0</v>
      </c>
      <c r="J11" s="27"/>
    </row>
    <row r="12" spans="1:12" x14ac:dyDescent="0.25">
      <c r="A12" t="s">
        <v>7</v>
      </c>
      <c r="C12" s="2" t="s">
        <v>25</v>
      </c>
      <c r="F12" s="37">
        <v>2.5</v>
      </c>
      <c r="H12" s="40">
        <f>((Sheet2!C58*Sheet2!E58)+(Sheet2!C59*Sheet2!E59)+(Sheet2!C60*Sheet2!E60)+(Sheet2!C61*Sheet2!E61)+(Sheet2!C62*Sheet2!E62)+(Sheet2!C63*Sheet2!E63))</f>
        <v>0</v>
      </c>
      <c r="J12" s="26"/>
    </row>
    <row r="13" spans="1:12" x14ac:dyDescent="0.25">
      <c r="A13" t="s">
        <v>5</v>
      </c>
      <c r="C13" s="2" t="s">
        <v>26</v>
      </c>
      <c r="F13" s="37">
        <v>2</v>
      </c>
      <c r="H13" s="40">
        <f>((Sheet2!C67*Sheet2!E67)+(Sheet2!C68*Sheet2!E68)+(Sheet2!C69*Sheet2!E69)+(Sheet2!C70*Sheet2!E70)+(Sheet2!C71*Sheet2!E71)+(Sheet2!C72*Sheet2!E72))</f>
        <v>0</v>
      </c>
      <c r="J13" s="26"/>
    </row>
    <row r="14" spans="1:12" x14ac:dyDescent="0.25">
      <c r="C14" s="2" t="s">
        <v>27</v>
      </c>
      <c r="F14" s="37"/>
      <c r="H14" s="40">
        <f>((Sheet2!C76*Sheet2!E76)+(Sheet2!C77*Sheet2!E77)+(Sheet2!C78*Sheet2!E78)+(Sheet2!C79*Sheet2!E79)+(Sheet2!C80*Sheet2!E80)+(Sheet2!C81*Sheet2!E81))</f>
        <v>0</v>
      </c>
      <c r="J14" s="26"/>
    </row>
    <row r="15" spans="1:12" x14ac:dyDescent="0.25">
      <c r="A15" t="s">
        <v>6</v>
      </c>
      <c r="C15" s="2" t="s">
        <v>28</v>
      </c>
      <c r="F15" s="37">
        <v>1</v>
      </c>
      <c r="H15" s="40">
        <f>((Sheet2!C85*Sheet2!E85)+(Sheet2!C86*Sheet2!E86)+(Sheet2!C87*Sheet2!E87)+(Sheet2!C88*Sheet2!E88)+(Sheet2!C89*Sheet2!E89)+(Sheet2!C90*Sheet2!E90))</f>
        <v>0</v>
      </c>
      <c r="J15" s="26"/>
    </row>
    <row r="16" spans="1:12" x14ac:dyDescent="0.25">
      <c r="A16" t="s">
        <v>15</v>
      </c>
      <c r="C16" s="2" t="s">
        <v>29</v>
      </c>
      <c r="F16" s="37">
        <v>1.5</v>
      </c>
      <c r="H16" s="40">
        <f>((Sheet2!C94*Sheet2!E94)+(Sheet2!C95*Sheet2!E95)+(Sheet2!C96*Sheet2!E96)+(Sheet2!C97*Sheet2!E97)+(Sheet2!C98*Sheet2!E98)+(Sheet2!C99*Sheet2!E99))</f>
        <v>0</v>
      </c>
      <c r="J16" s="26"/>
    </row>
    <row r="17" spans="1:10" x14ac:dyDescent="0.25">
      <c r="A17" t="s">
        <v>3</v>
      </c>
      <c r="C17" s="2" t="s">
        <v>30</v>
      </c>
      <c r="F17" s="37">
        <v>0</v>
      </c>
      <c r="H17" s="40">
        <f>((Sheet2!C103*Sheet2!E103)+(Sheet2!C104*Sheet2!E104)+(Sheet2!C105*Sheet2!E105)+(Sheet2!C106*Sheet2!E106)+(Sheet2!C107*Sheet2!E107)+(Sheet2!C108*Sheet2!E108))</f>
        <v>0</v>
      </c>
      <c r="J17" s="26"/>
    </row>
    <row r="18" spans="1:10" x14ac:dyDescent="0.25">
      <c r="C18" s="2" t="s">
        <v>19</v>
      </c>
      <c r="H18" s="47"/>
      <c r="J18" s="26"/>
    </row>
    <row r="19" spans="1:10" x14ac:dyDescent="0.25">
      <c r="C19" s="2" t="s">
        <v>51</v>
      </c>
      <c r="H19" s="40">
        <f>((Sheet2!C112+Sheet2!E112)+(Sheet2!C113+Sheet2!E113)+(Sheet2!C114*Sheet2!E114)+(Sheet2!C115*Sheet2!E115)+(Sheet2!C116*Sheet2!E116)+(Sheet2!C117*Sheet2!E117))</f>
        <v>0</v>
      </c>
      <c r="J19" s="26"/>
    </row>
    <row r="20" spans="1:10" x14ac:dyDescent="0.25">
      <c r="C20" s="2" t="s">
        <v>52</v>
      </c>
      <c r="H20" s="40">
        <f>((Sheet2!C121*Sheet2!E121)+(Sheet2!C122*Sheet2!E122)+(Sheet2!C123*Sheet2!E123)+(Sheet2!C124*Sheet2!E124)+(Sheet2!C125*Sheet2!E125)+(Sheet2!C126*Sheet2!E126))</f>
        <v>0</v>
      </c>
      <c r="J20" s="26"/>
    </row>
    <row r="21" spans="1:10" x14ac:dyDescent="0.25">
      <c r="H21" s="1"/>
      <c r="I21" s="32"/>
      <c r="J21" s="26"/>
    </row>
    <row r="22" spans="1:10" x14ac:dyDescent="0.25">
      <c r="H22" s="33"/>
      <c r="J22" s="26"/>
    </row>
    <row r="23" spans="1:10" x14ac:dyDescent="0.25">
      <c r="J23" s="26"/>
    </row>
    <row r="24" spans="1:10" x14ac:dyDescent="0.25">
      <c r="J24" s="26"/>
    </row>
    <row r="25" spans="1:10" x14ac:dyDescent="0.25">
      <c r="J25" s="26"/>
    </row>
    <row r="26" spans="1:10" x14ac:dyDescent="0.25">
      <c r="J26" s="26"/>
    </row>
    <row r="27" spans="1:10" x14ac:dyDescent="0.25">
      <c r="J27" s="26"/>
    </row>
    <row r="28" spans="1:10" x14ac:dyDescent="0.25">
      <c r="J28" s="26"/>
    </row>
    <row r="91" spans="10:10" x14ac:dyDescent="0.25">
      <c r="J91" s="26"/>
    </row>
    <row r="92" spans="10:10" x14ac:dyDescent="0.25">
      <c r="J92" s="29"/>
    </row>
    <row r="93" spans="10:10" x14ac:dyDescent="0.25">
      <c r="J93" s="29"/>
    </row>
    <row r="94" spans="10:10" x14ac:dyDescent="0.25">
      <c r="J94" s="29"/>
    </row>
    <row r="95" spans="10:10" x14ac:dyDescent="0.25">
      <c r="J95" s="27"/>
    </row>
    <row r="96" spans="10:10" x14ac:dyDescent="0.25">
      <c r="J96" s="27"/>
    </row>
    <row r="97" spans="10:10" x14ac:dyDescent="0.25">
      <c r="J97" s="28" t="s">
        <v>40</v>
      </c>
    </row>
    <row r="98" spans="10:10" x14ac:dyDescent="0.25">
      <c r="J98" s="26" t="s">
        <v>41</v>
      </c>
    </row>
    <row r="99" spans="10:10" x14ac:dyDescent="0.25">
      <c r="J99" s="26" t="s">
        <v>42</v>
      </c>
    </row>
    <row r="100" spans="10:10" x14ac:dyDescent="0.25">
      <c r="J100" s="26"/>
    </row>
    <row r="101" spans="10:10" x14ac:dyDescent="0.25">
      <c r="J101" s="29"/>
    </row>
    <row r="102" spans="10:10" x14ac:dyDescent="0.25">
      <c r="J102" s="29"/>
    </row>
    <row r="103" spans="10:10" x14ac:dyDescent="0.25">
      <c r="J103" s="29"/>
    </row>
    <row r="104" spans="10:10" x14ac:dyDescent="0.25">
      <c r="J104" s="27"/>
    </row>
    <row r="105" spans="10:10" x14ac:dyDescent="0.25">
      <c r="J105" s="27"/>
    </row>
    <row r="106" spans="10:10" x14ac:dyDescent="0.25">
      <c r="J106" s="28" t="s">
        <v>45</v>
      </c>
    </row>
    <row r="107" spans="10:10" x14ac:dyDescent="0.25">
      <c r="J107" s="26" t="s">
        <v>47</v>
      </c>
    </row>
    <row r="108" spans="10:10" x14ac:dyDescent="0.25">
      <c r="J108" s="26" t="s">
        <v>50</v>
      </c>
    </row>
    <row r="109" spans="10:10" x14ac:dyDescent="0.25">
      <c r="J109" s="26" t="s">
        <v>48</v>
      </c>
    </row>
    <row r="110" spans="10:10" x14ac:dyDescent="0.25">
      <c r="J110" s="26" t="s">
        <v>49</v>
      </c>
    </row>
  </sheetData>
  <dataConsolidate/>
  <conditionalFormatting sqref="J91:J110">
    <cfRule type="expression" dxfId="1" priority="1">
      <formula>$D91="F"</formula>
    </cfRule>
  </conditionalFormatting>
  <conditionalFormatting sqref="J1:J28">
    <cfRule type="expression" dxfId="0" priority="2">
      <formula>$D22="F"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Talha</dc:creator>
  <cp:lastModifiedBy>Admin</cp:lastModifiedBy>
  <cp:lastPrinted>2020-07-16T21:28:10Z</cp:lastPrinted>
  <dcterms:created xsi:type="dcterms:W3CDTF">2020-07-16T18:03:16Z</dcterms:created>
  <dcterms:modified xsi:type="dcterms:W3CDTF">2020-10-13T05:57:17Z</dcterms:modified>
</cp:coreProperties>
</file>